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/>
  <xr:revisionPtr revIDLastSave="0" documentId="8_{0D69BB46-09CC-472E-A0C7-71A5BFCDD6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6" i="1"/>
  <c r="O3" i="1"/>
  <c r="A9" i="1"/>
  <c r="A6" i="1"/>
  <c r="R3" i="1"/>
  <c r="R4" i="1"/>
  <c r="P4" i="1" s="1"/>
  <c r="R5" i="1"/>
  <c r="P5" i="1" s="1"/>
  <c r="R6" i="1"/>
  <c r="P6" i="1" s="1"/>
  <c r="R7" i="1"/>
  <c r="P7" i="1" s="1"/>
  <c r="R8" i="1"/>
  <c r="P8" i="1" s="1"/>
  <c r="R9" i="1"/>
  <c r="P9" i="1" s="1"/>
  <c r="R10" i="1"/>
  <c r="P10" i="1" s="1"/>
  <c r="R11" i="1"/>
  <c r="P11" i="1" s="1"/>
  <c r="R12" i="1"/>
  <c r="P12" i="1" s="1"/>
  <c r="R13" i="1"/>
  <c r="P13" i="1" s="1"/>
  <c r="R14" i="1"/>
  <c r="P14" i="1" s="1"/>
  <c r="R15" i="1"/>
  <c r="P15" i="1" s="1"/>
  <c r="R16" i="1"/>
  <c r="P16" i="1" s="1"/>
  <c r="R17" i="1"/>
  <c r="P17" i="1" s="1"/>
  <c r="R18" i="1"/>
  <c r="P18" i="1" s="1"/>
  <c r="R19" i="1"/>
  <c r="P19" i="1" s="1"/>
  <c r="R20" i="1"/>
  <c r="P20" i="1" s="1"/>
  <c r="R21" i="1"/>
  <c r="P21" i="1" s="1"/>
  <c r="R22" i="1"/>
  <c r="P22" i="1" s="1"/>
  <c r="R23" i="1"/>
  <c r="P23" i="1" s="1"/>
  <c r="R24" i="1"/>
  <c r="P24" i="1" s="1"/>
  <c r="R25" i="1"/>
  <c r="P25" i="1" s="1"/>
  <c r="R26" i="1"/>
  <c r="P26" i="1" s="1"/>
  <c r="R27" i="1"/>
  <c r="P27" i="1" s="1"/>
  <c r="R28" i="1"/>
  <c r="P28" i="1" s="1"/>
  <c r="R29" i="1"/>
  <c r="P29" i="1" s="1"/>
  <c r="R30" i="1"/>
  <c r="P30" i="1" s="1"/>
  <c r="R31" i="1"/>
  <c r="P31" i="1" s="1"/>
  <c r="R32" i="1"/>
  <c r="P32" i="1" s="1"/>
  <c r="R33" i="1"/>
  <c r="P33" i="1" s="1"/>
  <c r="R34" i="1"/>
  <c r="P34" i="1" s="1"/>
  <c r="R35" i="1"/>
  <c r="P35" i="1" s="1"/>
  <c r="R36" i="1"/>
  <c r="P36" i="1" s="1"/>
  <c r="R37" i="1"/>
  <c r="P37" i="1" s="1"/>
  <c r="R38" i="1"/>
  <c r="P38" i="1" s="1"/>
  <c r="R39" i="1"/>
  <c r="P39" i="1" s="1"/>
  <c r="R40" i="1"/>
  <c r="P40" i="1" s="1"/>
  <c r="R41" i="1"/>
  <c r="P41" i="1" s="1"/>
  <c r="R42" i="1"/>
  <c r="P42" i="1" s="1"/>
  <c r="R43" i="1"/>
  <c r="P43" i="1" s="1"/>
  <c r="R44" i="1"/>
  <c r="P44" i="1" s="1"/>
  <c r="R45" i="1"/>
  <c r="P45" i="1" s="1"/>
  <c r="R46" i="1"/>
  <c r="P46" i="1" s="1"/>
  <c r="R47" i="1"/>
  <c r="P47" i="1" s="1"/>
  <c r="R48" i="1"/>
  <c r="P48" i="1" s="1"/>
  <c r="R49" i="1"/>
  <c r="P49" i="1" s="1"/>
  <c r="R50" i="1"/>
  <c r="P50" i="1" s="1"/>
  <c r="R51" i="1"/>
  <c r="P51" i="1" s="1"/>
  <c r="R52" i="1"/>
  <c r="P52" i="1" s="1"/>
  <c r="R53" i="1"/>
  <c r="P53" i="1" s="1"/>
  <c r="R54" i="1"/>
  <c r="P54" i="1" s="1"/>
  <c r="R55" i="1"/>
  <c r="P55" i="1" s="1"/>
  <c r="R56" i="1"/>
  <c r="P56" i="1" s="1"/>
  <c r="R57" i="1"/>
  <c r="P57" i="1" s="1"/>
  <c r="R58" i="1"/>
  <c r="P58" i="1" s="1"/>
  <c r="R59" i="1"/>
  <c r="P59" i="1" s="1"/>
  <c r="R60" i="1"/>
  <c r="P60" i="1" s="1"/>
  <c r="R61" i="1"/>
  <c r="P61" i="1" s="1"/>
  <c r="R62" i="1"/>
  <c r="P62" i="1" s="1"/>
  <c r="R63" i="1"/>
  <c r="P63" i="1" s="1"/>
  <c r="R64" i="1"/>
  <c r="P64" i="1" s="1"/>
  <c r="R65" i="1"/>
  <c r="P65" i="1" s="1"/>
  <c r="R66" i="1"/>
  <c r="P66" i="1" s="1"/>
  <c r="R67" i="1"/>
  <c r="P67" i="1" s="1"/>
  <c r="R68" i="1"/>
  <c r="P68" i="1" s="1"/>
  <c r="R69" i="1"/>
  <c r="P69" i="1" s="1"/>
  <c r="R70" i="1"/>
  <c r="P70" i="1" s="1"/>
  <c r="R71" i="1"/>
  <c r="P71" i="1" s="1"/>
  <c r="R72" i="1"/>
  <c r="P72" i="1" s="1"/>
  <c r="R73" i="1"/>
  <c r="P73" i="1" s="1"/>
  <c r="R74" i="1"/>
  <c r="P74" i="1" s="1"/>
  <c r="R75" i="1"/>
  <c r="P75" i="1" s="1"/>
  <c r="R76" i="1"/>
  <c r="P76" i="1" s="1"/>
  <c r="R77" i="1"/>
  <c r="P77" i="1" s="1"/>
  <c r="R78" i="1"/>
  <c r="P78" i="1" s="1"/>
  <c r="R79" i="1"/>
  <c r="P79" i="1" s="1"/>
  <c r="R80" i="1"/>
  <c r="P80" i="1" s="1"/>
  <c r="R81" i="1"/>
  <c r="P81" i="1" s="1"/>
  <c r="R82" i="1"/>
  <c r="P82" i="1" s="1"/>
  <c r="R83" i="1"/>
  <c r="P83" i="1" s="1"/>
  <c r="R84" i="1"/>
  <c r="P84" i="1" s="1"/>
  <c r="R85" i="1"/>
  <c r="P85" i="1" s="1"/>
  <c r="R86" i="1"/>
  <c r="P86" i="1" s="1"/>
  <c r="R87" i="1"/>
  <c r="P87" i="1" s="1"/>
  <c r="R88" i="1"/>
  <c r="P88" i="1" s="1"/>
  <c r="R89" i="1"/>
  <c r="P89" i="1" s="1"/>
  <c r="R90" i="1"/>
  <c r="P90" i="1" s="1"/>
  <c r="R91" i="1"/>
  <c r="P91" i="1" s="1"/>
  <c r="R92" i="1"/>
  <c r="P92" i="1" s="1"/>
  <c r="R93" i="1"/>
  <c r="P93" i="1" s="1"/>
  <c r="R94" i="1"/>
  <c r="P94" i="1" s="1"/>
  <c r="R95" i="1"/>
  <c r="P95" i="1" s="1"/>
  <c r="R96" i="1"/>
  <c r="P96" i="1" s="1"/>
  <c r="R97" i="1"/>
  <c r="P97" i="1" s="1"/>
  <c r="R98" i="1"/>
  <c r="P98" i="1" s="1"/>
  <c r="R99" i="1"/>
  <c r="P99" i="1" s="1"/>
  <c r="R100" i="1"/>
  <c r="P100" i="1" s="1"/>
  <c r="R101" i="1"/>
  <c r="P101" i="1" s="1"/>
  <c r="R102" i="1"/>
  <c r="P102" i="1" s="1"/>
  <c r="R103" i="1"/>
  <c r="P103" i="1" s="1"/>
  <c r="R104" i="1"/>
  <c r="P104" i="1" s="1"/>
  <c r="R105" i="1"/>
  <c r="P105" i="1" s="1"/>
  <c r="R106" i="1"/>
  <c r="P106" i="1" s="1"/>
  <c r="R107" i="1"/>
  <c r="P107" i="1" s="1"/>
  <c r="R108" i="1"/>
  <c r="P108" i="1" s="1"/>
  <c r="R109" i="1"/>
  <c r="P109" i="1" s="1"/>
  <c r="R110" i="1"/>
  <c r="P110" i="1" s="1"/>
  <c r="R111" i="1"/>
  <c r="P111" i="1" s="1"/>
  <c r="R112" i="1"/>
  <c r="P112" i="1" s="1"/>
  <c r="R113" i="1"/>
  <c r="P113" i="1" s="1"/>
  <c r="R114" i="1"/>
  <c r="P114" i="1" s="1"/>
  <c r="R115" i="1"/>
  <c r="P115" i="1" s="1"/>
  <c r="R116" i="1"/>
  <c r="P116" i="1" s="1"/>
  <c r="R117" i="1"/>
  <c r="P117" i="1" s="1"/>
  <c r="R118" i="1"/>
  <c r="P118" i="1" s="1"/>
  <c r="R119" i="1"/>
  <c r="P119" i="1" s="1"/>
  <c r="R120" i="1"/>
  <c r="P120" i="1" s="1"/>
  <c r="R121" i="1"/>
  <c r="P121" i="1" s="1"/>
  <c r="R122" i="1"/>
  <c r="P122" i="1" s="1"/>
  <c r="R123" i="1"/>
  <c r="P123" i="1" s="1"/>
  <c r="R124" i="1"/>
  <c r="P124" i="1" s="1"/>
  <c r="R125" i="1"/>
  <c r="P125" i="1" s="1"/>
  <c r="R126" i="1"/>
  <c r="P126" i="1" s="1"/>
  <c r="R127" i="1"/>
  <c r="P127" i="1" s="1"/>
  <c r="R128" i="1"/>
  <c r="P128" i="1" s="1"/>
  <c r="R129" i="1"/>
  <c r="P129" i="1" s="1"/>
  <c r="R130" i="1"/>
  <c r="P130" i="1" s="1"/>
  <c r="R131" i="1"/>
  <c r="P131" i="1" s="1"/>
  <c r="R132" i="1"/>
  <c r="P132" i="1" s="1"/>
  <c r="R133" i="1"/>
  <c r="P133" i="1" s="1"/>
  <c r="R134" i="1"/>
  <c r="P134" i="1" s="1"/>
  <c r="R135" i="1"/>
  <c r="P135" i="1" s="1"/>
  <c r="R136" i="1"/>
  <c r="P136" i="1" s="1"/>
  <c r="R137" i="1"/>
  <c r="P137" i="1" s="1"/>
  <c r="R138" i="1"/>
  <c r="P138" i="1" s="1"/>
  <c r="R139" i="1"/>
  <c r="P139" i="1" s="1"/>
  <c r="R140" i="1"/>
  <c r="P140" i="1" s="1"/>
  <c r="R141" i="1"/>
  <c r="P141" i="1" s="1"/>
  <c r="R142" i="1"/>
  <c r="P142" i="1" s="1"/>
  <c r="R143" i="1"/>
  <c r="P143" i="1" s="1"/>
  <c r="R2" i="1"/>
  <c r="D3" i="1"/>
  <c r="D4" i="1"/>
  <c r="B4" i="1" s="1"/>
  <c r="D5" i="1"/>
  <c r="B5" i="1" s="1"/>
  <c r="D6" i="1"/>
  <c r="B6" i="1" s="1"/>
  <c r="D7" i="1"/>
  <c r="B7" i="1" s="1"/>
  <c r="D8" i="1"/>
  <c r="B8" i="1" s="1"/>
  <c r="D9" i="1"/>
  <c r="B9" i="1" s="1"/>
  <c r="D10" i="1"/>
  <c r="B10" i="1" s="1"/>
  <c r="D11" i="1"/>
  <c r="B11" i="1" s="1"/>
  <c r="D12" i="1"/>
  <c r="B12" i="1" s="1"/>
  <c r="D13" i="1"/>
  <c r="B13" i="1" s="1"/>
  <c r="D14" i="1"/>
  <c r="B14" i="1" s="1"/>
  <c r="D15" i="1"/>
  <c r="B15" i="1" s="1"/>
  <c r="D16" i="1"/>
  <c r="B16" i="1" s="1"/>
  <c r="D17" i="1"/>
  <c r="B17" i="1" s="1"/>
  <c r="D18" i="1"/>
  <c r="B18" i="1" s="1"/>
  <c r="D19" i="1"/>
  <c r="B19" i="1" s="1"/>
  <c r="D20" i="1"/>
  <c r="B20" i="1" s="1"/>
  <c r="D21" i="1"/>
  <c r="B21" i="1" s="1"/>
  <c r="D22" i="1"/>
  <c r="B22" i="1" s="1"/>
  <c r="D23" i="1"/>
  <c r="B23" i="1" s="1"/>
  <c r="D24" i="1"/>
  <c r="B24" i="1" s="1"/>
  <c r="D25" i="1"/>
  <c r="B25" i="1" s="1"/>
  <c r="D26" i="1"/>
  <c r="B26" i="1" s="1"/>
  <c r="D27" i="1"/>
  <c r="B27" i="1" s="1"/>
  <c r="D28" i="1"/>
  <c r="B28" i="1" s="1"/>
  <c r="D29" i="1"/>
  <c r="B29" i="1" s="1"/>
  <c r="D30" i="1"/>
  <c r="B30" i="1" s="1"/>
  <c r="D31" i="1"/>
  <c r="B31" i="1" s="1"/>
  <c r="D32" i="1"/>
  <c r="B32" i="1" s="1"/>
  <c r="D33" i="1"/>
  <c r="B33" i="1" s="1"/>
  <c r="D34" i="1"/>
  <c r="B34" i="1" s="1"/>
  <c r="D35" i="1"/>
  <c r="B35" i="1" s="1"/>
  <c r="D36" i="1"/>
  <c r="B36" i="1" s="1"/>
  <c r="D37" i="1"/>
  <c r="B37" i="1" s="1"/>
  <c r="D38" i="1"/>
  <c r="B38" i="1" s="1"/>
  <c r="D39" i="1"/>
  <c r="B39" i="1" s="1"/>
  <c r="D40" i="1"/>
  <c r="B40" i="1" s="1"/>
  <c r="D41" i="1"/>
  <c r="B41" i="1" s="1"/>
  <c r="D42" i="1"/>
  <c r="B42" i="1" s="1"/>
  <c r="D43" i="1"/>
  <c r="B43" i="1" s="1"/>
  <c r="D44" i="1"/>
  <c r="B44" i="1" s="1"/>
  <c r="D45" i="1"/>
  <c r="B45" i="1" s="1"/>
  <c r="D46" i="1"/>
  <c r="B46" i="1" s="1"/>
  <c r="D47" i="1"/>
  <c r="B47" i="1" s="1"/>
  <c r="D48" i="1"/>
  <c r="B48" i="1" s="1"/>
  <c r="D49" i="1"/>
  <c r="B49" i="1" s="1"/>
  <c r="D50" i="1"/>
  <c r="B50" i="1" s="1"/>
  <c r="D51" i="1"/>
  <c r="B51" i="1" s="1"/>
  <c r="D52" i="1"/>
  <c r="B52" i="1" s="1"/>
  <c r="D53" i="1"/>
  <c r="B53" i="1" s="1"/>
  <c r="D54" i="1"/>
  <c r="B54" i="1" s="1"/>
  <c r="D55" i="1"/>
  <c r="B55" i="1" s="1"/>
  <c r="D56" i="1"/>
  <c r="B56" i="1" s="1"/>
  <c r="D57" i="1"/>
  <c r="B57" i="1" s="1"/>
  <c r="D58" i="1"/>
  <c r="B58" i="1" s="1"/>
  <c r="D59" i="1"/>
  <c r="B59" i="1" s="1"/>
  <c r="D60" i="1"/>
  <c r="B60" i="1" s="1"/>
  <c r="D61" i="1"/>
  <c r="B61" i="1" s="1"/>
  <c r="D62" i="1"/>
  <c r="B62" i="1" s="1"/>
  <c r="D63" i="1"/>
  <c r="B63" i="1" s="1"/>
  <c r="D64" i="1"/>
  <c r="B64" i="1" s="1"/>
  <c r="D65" i="1"/>
  <c r="B65" i="1" s="1"/>
  <c r="D66" i="1"/>
  <c r="B66" i="1" s="1"/>
  <c r="D67" i="1"/>
  <c r="B67" i="1" s="1"/>
  <c r="D68" i="1"/>
  <c r="B68" i="1" s="1"/>
  <c r="D69" i="1"/>
  <c r="B69" i="1" s="1"/>
  <c r="D70" i="1"/>
  <c r="B70" i="1" s="1"/>
  <c r="D71" i="1"/>
  <c r="B71" i="1" s="1"/>
  <c r="D72" i="1"/>
  <c r="B72" i="1" s="1"/>
  <c r="D73" i="1"/>
  <c r="B73" i="1" s="1"/>
  <c r="D74" i="1"/>
  <c r="B74" i="1" s="1"/>
  <c r="D75" i="1"/>
  <c r="B75" i="1" s="1"/>
  <c r="D76" i="1"/>
  <c r="B76" i="1" s="1"/>
  <c r="D77" i="1"/>
  <c r="B77" i="1" s="1"/>
  <c r="D78" i="1"/>
  <c r="B78" i="1" s="1"/>
  <c r="D79" i="1"/>
  <c r="B79" i="1" s="1"/>
  <c r="D80" i="1"/>
  <c r="B80" i="1" s="1"/>
  <c r="D81" i="1"/>
  <c r="B81" i="1" s="1"/>
  <c r="D82" i="1"/>
  <c r="B82" i="1" s="1"/>
  <c r="D83" i="1"/>
  <c r="B83" i="1" s="1"/>
  <c r="D84" i="1"/>
  <c r="B84" i="1" s="1"/>
  <c r="D85" i="1"/>
  <c r="B85" i="1" s="1"/>
  <c r="D86" i="1"/>
  <c r="B86" i="1" s="1"/>
  <c r="D87" i="1"/>
  <c r="B87" i="1" s="1"/>
  <c r="D88" i="1"/>
  <c r="B88" i="1" s="1"/>
  <c r="D89" i="1"/>
  <c r="B89" i="1" s="1"/>
  <c r="D90" i="1"/>
  <c r="B90" i="1" s="1"/>
  <c r="D91" i="1"/>
  <c r="B91" i="1" s="1"/>
  <c r="D92" i="1"/>
  <c r="B92" i="1" s="1"/>
  <c r="D93" i="1"/>
  <c r="B93" i="1" s="1"/>
  <c r="D94" i="1"/>
  <c r="B94" i="1" s="1"/>
  <c r="D95" i="1"/>
  <c r="B95" i="1" s="1"/>
  <c r="D96" i="1"/>
  <c r="B96" i="1" s="1"/>
  <c r="D97" i="1"/>
  <c r="B97" i="1" s="1"/>
  <c r="D98" i="1"/>
  <c r="B98" i="1" s="1"/>
  <c r="D99" i="1"/>
  <c r="B99" i="1" s="1"/>
  <c r="D100" i="1"/>
  <c r="B100" i="1" s="1"/>
  <c r="D101" i="1"/>
  <c r="B101" i="1" s="1"/>
  <c r="D102" i="1"/>
  <c r="B102" i="1" s="1"/>
  <c r="D103" i="1"/>
  <c r="B103" i="1" s="1"/>
  <c r="D104" i="1"/>
  <c r="B104" i="1" s="1"/>
  <c r="D105" i="1"/>
  <c r="B105" i="1" s="1"/>
  <c r="D106" i="1"/>
  <c r="B106" i="1" s="1"/>
  <c r="D107" i="1"/>
  <c r="B107" i="1" s="1"/>
  <c r="D108" i="1"/>
  <c r="B108" i="1" s="1"/>
  <c r="D109" i="1"/>
  <c r="B109" i="1" s="1"/>
  <c r="D110" i="1"/>
  <c r="B110" i="1" s="1"/>
  <c r="D111" i="1"/>
  <c r="B111" i="1" s="1"/>
  <c r="D112" i="1"/>
  <c r="B112" i="1" s="1"/>
  <c r="D113" i="1"/>
  <c r="B113" i="1" s="1"/>
  <c r="D114" i="1"/>
  <c r="B114" i="1" s="1"/>
  <c r="D115" i="1"/>
  <c r="B115" i="1" s="1"/>
  <c r="D116" i="1"/>
  <c r="B116" i="1" s="1"/>
  <c r="D117" i="1"/>
  <c r="B117" i="1" s="1"/>
  <c r="D118" i="1"/>
  <c r="B118" i="1" s="1"/>
  <c r="D119" i="1"/>
  <c r="B119" i="1" s="1"/>
  <c r="D120" i="1"/>
  <c r="B120" i="1" s="1"/>
  <c r="D121" i="1"/>
  <c r="B121" i="1" s="1"/>
  <c r="D122" i="1"/>
  <c r="B122" i="1" s="1"/>
  <c r="D123" i="1"/>
  <c r="B123" i="1" s="1"/>
  <c r="D124" i="1"/>
  <c r="B124" i="1" s="1"/>
  <c r="D125" i="1"/>
  <c r="B125" i="1" s="1"/>
  <c r="D126" i="1"/>
  <c r="B126" i="1" s="1"/>
  <c r="D127" i="1"/>
  <c r="B127" i="1" s="1"/>
  <c r="D128" i="1"/>
  <c r="B128" i="1" s="1"/>
  <c r="D129" i="1"/>
  <c r="B129" i="1" s="1"/>
  <c r="D130" i="1"/>
  <c r="B130" i="1" s="1"/>
  <c r="D131" i="1"/>
  <c r="B131" i="1" s="1"/>
  <c r="D132" i="1"/>
  <c r="B132" i="1" s="1"/>
  <c r="D133" i="1"/>
  <c r="B133" i="1" s="1"/>
  <c r="D134" i="1"/>
  <c r="B134" i="1" s="1"/>
  <c r="D135" i="1"/>
  <c r="B135" i="1" s="1"/>
  <c r="D136" i="1"/>
  <c r="B136" i="1" s="1"/>
  <c r="D137" i="1"/>
  <c r="B137" i="1" s="1"/>
  <c r="D138" i="1"/>
  <c r="B138" i="1" s="1"/>
  <c r="D139" i="1"/>
  <c r="B139" i="1" s="1"/>
  <c r="D2" i="1"/>
  <c r="P3" i="1" l="1"/>
  <c r="B3" i="1"/>
  <c r="A3" i="1" s="1"/>
</calcChain>
</file>

<file path=xl/sharedStrings.xml><?xml version="1.0" encoding="utf-8"?>
<sst xmlns="http://schemas.openxmlformats.org/spreadsheetml/2006/main" count="14" uniqueCount="8">
  <si>
    <t>Cuir</t>
  </si>
  <si>
    <t>Vitesse (m/s)</t>
  </si>
  <si>
    <t>Temps (s)</t>
  </si>
  <si>
    <t>Position (en m sur -Y)</t>
  </si>
  <si>
    <t>Caoutchouc</t>
  </si>
  <si>
    <t>Vitesse moyenne avant rebond:</t>
  </si>
  <si>
    <t>Vitesse moyenne après rebond:</t>
  </si>
  <si>
    <t>Coefficient de restitution: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</si>
</sst>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Cuir-Polyuréthane: Vitesse en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Vitesse 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Feuil1!$B$2:$B$139</c:f>
              <c:numCache>
                <c:formatCode>General</c:formatCode>
                <c:ptCount val="138"/>
                <c:pt idx="1">
                  <c:v>3.6687898089172202</c:v>
                </c:pt>
                <c:pt idx="2">
                  <c:v>4.40254777070062</c:v>
                </c:pt>
                <c:pt idx="3">
                  <c:v>3.6687898089171838</c:v>
                </c:pt>
                <c:pt idx="4">
                  <c:v>3.6687898089172086</c:v>
                </c:pt>
                <c:pt idx="5">
                  <c:v>3.6687898089171984</c:v>
                </c:pt>
                <c:pt idx="6">
                  <c:v>3.6687898089171953</c:v>
                </c:pt>
                <c:pt idx="7">
                  <c:v>3.6687898089172086</c:v>
                </c:pt>
                <c:pt idx="8">
                  <c:v>3.6687898089171984</c:v>
                </c:pt>
                <c:pt idx="9">
                  <c:v>3.6687898089171584</c:v>
                </c:pt>
                <c:pt idx="10">
                  <c:v>3.6687898089174564</c:v>
                </c:pt>
                <c:pt idx="11">
                  <c:v>4.4025477707004814</c:v>
                </c:pt>
                <c:pt idx="12">
                  <c:v>3.6687898089170754</c:v>
                </c:pt>
                <c:pt idx="13">
                  <c:v>3.6687898089174356</c:v>
                </c:pt>
                <c:pt idx="14">
                  <c:v>3.6687898089170754</c:v>
                </c:pt>
                <c:pt idx="15">
                  <c:v>3.6687898089171078</c:v>
                </c:pt>
                <c:pt idx="16">
                  <c:v>4.4025477707008998</c:v>
                </c:pt>
                <c:pt idx="17">
                  <c:v>3.6687898089170754</c:v>
                </c:pt>
                <c:pt idx="18">
                  <c:v>3.6687898089170874</c:v>
                </c:pt>
                <c:pt idx="19">
                  <c:v>3.6687898089174298</c:v>
                </c:pt>
                <c:pt idx="20">
                  <c:v>4.402547770700501</c:v>
                </c:pt>
                <c:pt idx="21">
                  <c:v>3.6687898089170874</c:v>
                </c:pt>
                <c:pt idx="22">
                  <c:v>3.6687898089174298</c:v>
                </c:pt>
                <c:pt idx="23">
                  <c:v>4.402547770700501</c:v>
                </c:pt>
                <c:pt idx="24">
                  <c:v>3.6687898089170488</c:v>
                </c:pt>
                <c:pt idx="25">
                  <c:v>3.6687898089174684</c:v>
                </c:pt>
                <c:pt idx="26">
                  <c:v>3.6687898089170488</c:v>
                </c:pt>
                <c:pt idx="27">
                  <c:v>4.402547770700501</c:v>
                </c:pt>
                <c:pt idx="28">
                  <c:v>3.6687898089174298</c:v>
                </c:pt>
                <c:pt idx="29">
                  <c:v>4.4025477707004894</c:v>
                </c:pt>
                <c:pt idx="30">
                  <c:v>3.668789808917102</c:v>
                </c:pt>
                <c:pt idx="31">
                  <c:v>4.4025477707008998</c:v>
                </c:pt>
                <c:pt idx="32">
                  <c:v>3.6687898089170874</c:v>
                </c:pt>
                <c:pt idx="33">
                  <c:v>3.6687898089170896</c:v>
                </c:pt>
                <c:pt idx="34">
                  <c:v>4.4025477707008998</c:v>
                </c:pt>
                <c:pt idx="35">
                  <c:v>4.4025477707005161</c:v>
                </c:pt>
                <c:pt idx="36">
                  <c:v>3.6687898089170874</c:v>
                </c:pt>
                <c:pt idx="37">
                  <c:v>3.6687898089174298</c:v>
                </c:pt>
                <c:pt idx="38">
                  <c:v>3.668789808917114</c:v>
                </c:pt>
                <c:pt idx="39">
                  <c:v>4.4025477707004859</c:v>
                </c:pt>
                <c:pt idx="40">
                  <c:v>3.6687898089173765</c:v>
                </c:pt>
                <c:pt idx="41">
                  <c:v>4.4025477707005161</c:v>
                </c:pt>
                <c:pt idx="42">
                  <c:v>3.6687898089170874</c:v>
                </c:pt>
                <c:pt idx="43">
                  <c:v>3.6687898089174298</c:v>
                </c:pt>
                <c:pt idx="44">
                  <c:v>4.4025477707004859</c:v>
                </c:pt>
                <c:pt idx="45">
                  <c:v>4.4025477707005161</c:v>
                </c:pt>
                <c:pt idx="46">
                  <c:v>3.6687898089173765</c:v>
                </c:pt>
                <c:pt idx="47">
                  <c:v>3.6687898089171407</c:v>
                </c:pt>
                <c:pt idx="48">
                  <c:v>4.4025477707004326</c:v>
                </c:pt>
                <c:pt idx="49">
                  <c:v>4.4025477707009264</c:v>
                </c:pt>
                <c:pt idx="50">
                  <c:v>3.6687898089170874</c:v>
                </c:pt>
                <c:pt idx="51">
                  <c:v>3.6687898089170874</c:v>
                </c:pt>
                <c:pt idx="52">
                  <c:v>4.4025477707009264</c:v>
                </c:pt>
                <c:pt idx="53">
                  <c:v>4.4025477707005161</c:v>
                </c:pt>
                <c:pt idx="54">
                  <c:v>3.668789808917063</c:v>
                </c:pt>
                <c:pt idx="55">
                  <c:v>4.4025477707009264</c:v>
                </c:pt>
                <c:pt idx="56">
                  <c:v>3.6687898089170874</c:v>
                </c:pt>
                <c:pt idx="57">
                  <c:v>4.4025477707004628</c:v>
                </c:pt>
                <c:pt idx="58">
                  <c:v>2.9350318471339865</c:v>
                </c:pt>
                <c:pt idx="59">
                  <c:v>4.4025477707004859</c:v>
                </c:pt>
                <c:pt idx="60">
                  <c:v>3.6687898089170874</c:v>
                </c:pt>
                <c:pt idx="61">
                  <c:v>2.9350318471339527</c:v>
                </c:pt>
                <c:pt idx="62">
                  <c:v>0.73375796178336994</c:v>
                </c:pt>
                <c:pt idx="63">
                  <c:v>0</c:v>
                </c:pt>
                <c:pt idx="64">
                  <c:v>-1.4675159235669497</c:v>
                </c:pt>
                <c:pt idx="65">
                  <c:v>-2.2012738853502163</c:v>
                </c:pt>
                <c:pt idx="66">
                  <c:v>-2.9350318471336929</c:v>
                </c:pt>
                <c:pt idx="67">
                  <c:v>-2.9350318471338994</c:v>
                </c:pt>
                <c:pt idx="68">
                  <c:v>-3.6687898089171163</c:v>
                </c:pt>
                <c:pt idx="69">
                  <c:v>-2.9350318471336787</c:v>
                </c:pt>
                <c:pt idx="70">
                  <c:v>-2.9350318471339136</c:v>
                </c:pt>
                <c:pt idx="71">
                  <c:v>-3.668789808917063</c:v>
                </c:pt>
                <c:pt idx="72">
                  <c:v>-2.9350318471336787</c:v>
                </c:pt>
                <c:pt idx="73">
                  <c:v>-2.9350318471339669</c:v>
                </c:pt>
                <c:pt idx="74">
                  <c:v>-3.6687898089170585</c:v>
                </c:pt>
                <c:pt idx="75">
                  <c:v>-2.9350318471336929</c:v>
                </c:pt>
                <c:pt idx="76">
                  <c:v>-3.6687898089174542</c:v>
                </c:pt>
                <c:pt idx="77">
                  <c:v>-2.9350318471336396</c:v>
                </c:pt>
                <c:pt idx="78">
                  <c:v>-3.668789808917063</c:v>
                </c:pt>
                <c:pt idx="79">
                  <c:v>-2.9350318471339527</c:v>
                </c:pt>
                <c:pt idx="80">
                  <c:v>-3.668789808917063</c:v>
                </c:pt>
                <c:pt idx="81">
                  <c:v>-2.9350318471336929</c:v>
                </c:pt>
                <c:pt idx="82">
                  <c:v>-3.6687898089174009</c:v>
                </c:pt>
                <c:pt idx="83">
                  <c:v>-2.9350318471336929</c:v>
                </c:pt>
                <c:pt idx="84">
                  <c:v>-2.9350318471336787</c:v>
                </c:pt>
                <c:pt idx="85">
                  <c:v>-3.6687898089174054</c:v>
                </c:pt>
                <c:pt idx="86">
                  <c:v>-2.9350318471336396</c:v>
                </c:pt>
                <c:pt idx="87">
                  <c:v>-2.9350318471336787</c:v>
                </c:pt>
                <c:pt idx="88">
                  <c:v>-3.6687898089174587</c:v>
                </c:pt>
                <c:pt idx="89">
                  <c:v>-2.9350318471336254</c:v>
                </c:pt>
                <c:pt idx="90">
                  <c:v>-3.6687898089171163</c:v>
                </c:pt>
                <c:pt idx="91">
                  <c:v>-2.9350318471338994</c:v>
                </c:pt>
                <c:pt idx="92">
                  <c:v>-3.6687898089171163</c:v>
                </c:pt>
                <c:pt idx="93">
                  <c:v>-2.9350318471336663</c:v>
                </c:pt>
                <c:pt idx="94">
                  <c:v>-2.9350318471339261</c:v>
                </c:pt>
                <c:pt idx="95">
                  <c:v>-2.9350318471336396</c:v>
                </c:pt>
                <c:pt idx="96">
                  <c:v>-3.668789808917063</c:v>
                </c:pt>
                <c:pt idx="97">
                  <c:v>-2.9350318471356873</c:v>
                </c:pt>
                <c:pt idx="98">
                  <c:v>-3.6687898089159834</c:v>
                </c:pt>
                <c:pt idx="99">
                  <c:v>-2.9350318471328718</c:v>
                </c:pt>
                <c:pt idx="100">
                  <c:v>-2.935031847135595</c:v>
                </c:pt>
                <c:pt idx="101">
                  <c:v>-3.6687898089160367</c:v>
                </c:pt>
                <c:pt idx="102">
                  <c:v>-2.9350318471328452</c:v>
                </c:pt>
                <c:pt idx="103">
                  <c:v>-2.935031847135634</c:v>
                </c:pt>
                <c:pt idx="104">
                  <c:v>-3.6687898089159878</c:v>
                </c:pt>
                <c:pt idx="105">
                  <c:v>-2.9350318471328185</c:v>
                </c:pt>
                <c:pt idx="106">
                  <c:v>-2.9350318471356607</c:v>
                </c:pt>
                <c:pt idx="107">
                  <c:v>-3.6687898089159878</c:v>
                </c:pt>
                <c:pt idx="108">
                  <c:v>-2.9350318471328185</c:v>
                </c:pt>
                <c:pt idx="109">
                  <c:v>-2.9350318471356607</c:v>
                </c:pt>
                <c:pt idx="110">
                  <c:v>-2.9350318471328185</c:v>
                </c:pt>
                <c:pt idx="111">
                  <c:v>-3.6687898089159878</c:v>
                </c:pt>
                <c:pt idx="112">
                  <c:v>-2.9350318471356607</c:v>
                </c:pt>
                <c:pt idx="113">
                  <c:v>-2.9350318471328185</c:v>
                </c:pt>
                <c:pt idx="114">
                  <c:v>-3.6687898089160367</c:v>
                </c:pt>
                <c:pt idx="115">
                  <c:v>-2.935031847135595</c:v>
                </c:pt>
                <c:pt idx="116">
                  <c:v>-2.9350318471328452</c:v>
                </c:pt>
                <c:pt idx="117">
                  <c:v>-3.6687898089160367</c:v>
                </c:pt>
                <c:pt idx="118">
                  <c:v>-2.9350318471356607</c:v>
                </c:pt>
                <c:pt idx="119">
                  <c:v>-2.9350318471327794</c:v>
                </c:pt>
                <c:pt idx="120">
                  <c:v>-2.9350318471328185</c:v>
                </c:pt>
                <c:pt idx="121">
                  <c:v>-3.6687898089195556</c:v>
                </c:pt>
                <c:pt idx="122">
                  <c:v>-2.9350318471328452</c:v>
                </c:pt>
                <c:pt idx="123">
                  <c:v>-2.9350318471328185</c:v>
                </c:pt>
                <c:pt idx="124">
                  <c:v>-2.9350318471355825</c:v>
                </c:pt>
                <c:pt idx="125">
                  <c:v>-2.9350318471328185</c:v>
                </c:pt>
                <c:pt idx="126">
                  <c:v>-3.6687898089160367</c:v>
                </c:pt>
                <c:pt idx="127">
                  <c:v>-2.935031847135634</c:v>
                </c:pt>
                <c:pt idx="128">
                  <c:v>-2.9350318471328452</c:v>
                </c:pt>
                <c:pt idx="129">
                  <c:v>-2.9350318471328185</c:v>
                </c:pt>
                <c:pt idx="130">
                  <c:v>-2.9350318471356607</c:v>
                </c:pt>
                <c:pt idx="131">
                  <c:v>-3.6687898089160234</c:v>
                </c:pt>
                <c:pt idx="132">
                  <c:v>-2.9350318471327537</c:v>
                </c:pt>
                <c:pt idx="133">
                  <c:v>-2.9350318471356474</c:v>
                </c:pt>
                <c:pt idx="134">
                  <c:v>-2.9350318471328318</c:v>
                </c:pt>
                <c:pt idx="135">
                  <c:v>-2.9350318471328318</c:v>
                </c:pt>
                <c:pt idx="136">
                  <c:v>-2.9350318471356474</c:v>
                </c:pt>
                <c:pt idx="137">
                  <c:v>-2.9350318471328318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F-412F-978F-DBF81292A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110215"/>
        <c:axId val="1240494088"/>
      </c:scatterChart>
      <c:valAx>
        <c:axId val="1150110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94088"/>
        <c:crosses val="autoZero"/>
        <c:crossBetween val="midCat"/>
      </c:valAx>
      <c:valAx>
        <c:axId val="124049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10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Caoutchouc-Polyuréthane: Position sur l'axe -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Feuil1!$R$1</c:f>
              <c:strCache>
                <c:ptCount val="1"/>
                <c:pt idx="0">
                  <c:v>Position (en m sur -Y)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Feuil1!$Q$2:$Q$143</c:f>
              <c:numCache>
                <c:formatCode>General</c:formatCode>
                <c:ptCount val="142"/>
                <c:pt idx="0">
                  <c:v>0</c:v>
                </c:pt>
                <c:pt idx="1">
                  <c:v>1.0416666666666599E-3</c:v>
                </c:pt>
                <c:pt idx="2">
                  <c:v>2.0833333333333298E-3</c:v>
                </c:pt>
                <c:pt idx="3">
                  <c:v>3.1250000000000002E-3</c:v>
                </c:pt>
                <c:pt idx="4">
                  <c:v>4.1666666666666597E-3</c:v>
                </c:pt>
                <c:pt idx="5">
                  <c:v>5.2083333333333296E-3</c:v>
                </c:pt>
                <c:pt idx="6">
                  <c:v>6.2500000000000003E-3</c:v>
                </c:pt>
                <c:pt idx="7">
                  <c:v>7.2916666666666598E-3</c:v>
                </c:pt>
                <c:pt idx="8">
                  <c:v>8.3333333333333297E-3</c:v>
                </c:pt>
                <c:pt idx="9">
                  <c:v>9.3749999999999997E-3</c:v>
                </c:pt>
                <c:pt idx="10">
                  <c:v>1.04166666666666E-2</c:v>
                </c:pt>
                <c:pt idx="11">
                  <c:v>1.14583333333333E-2</c:v>
                </c:pt>
                <c:pt idx="12">
                  <c:v>1.2500000000000001E-2</c:v>
                </c:pt>
                <c:pt idx="13">
                  <c:v>1.3541666666666599E-2</c:v>
                </c:pt>
                <c:pt idx="14">
                  <c:v>1.4583333333333301E-2</c:v>
                </c:pt>
                <c:pt idx="15">
                  <c:v>1.5625E-2</c:v>
                </c:pt>
                <c:pt idx="16">
                  <c:v>1.6666666666666601E-2</c:v>
                </c:pt>
                <c:pt idx="17">
                  <c:v>1.7708333333333302E-2</c:v>
                </c:pt>
                <c:pt idx="18">
                  <c:v>1.8749999999999999E-2</c:v>
                </c:pt>
                <c:pt idx="19">
                  <c:v>1.97916666666666E-2</c:v>
                </c:pt>
                <c:pt idx="20">
                  <c:v>2.0833333333333301E-2</c:v>
                </c:pt>
                <c:pt idx="21">
                  <c:v>2.1874999999999999E-2</c:v>
                </c:pt>
                <c:pt idx="22">
                  <c:v>2.2916666666666599E-2</c:v>
                </c:pt>
                <c:pt idx="23">
                  <c:v>2.39583333333333E-2</c:v>
                </c:pt>
                <c:pt idx="24">
                  <c:v>2.5000000000000001E-2</c:v>
                </c:pt>
                <c:pt idx="25">
                  <c:v>2.6041666666666598E-2</c:v>
                </c:pt>
                <c:pt idx="26">
                  <c:v>2.70833333333333E-2</c:v>
                </c:pt>
                <c:pt idx="27">
                  <c:v>2.8125000000000001E-2</c:v>
                </c:pt>
                <c:pt idx="28">
                  <c:v>2.9166666666666601E-2</c:v>
                </c:pt>
                <c:pt idx="29">
                  <c:v>3.0208333333333299E-2</c:v>
                </c:pt>
                <c:pt idx="30">
                  <c:v>3.125E-2</c:v>
                </c:pt>
                <c:pt idx="31">
                  <c:v>3.2291666666666601E-2</c:v>
                </c:pt>
                <c:pt idx="32">
                  <c:v>3.3333333333333298E-2</c:v>
                </c:pt>
                <c:pt idx="33">
                  <c:v>3.4375000000000003E-2</c:v>
                </c:pt>
                <c:pt idx="34">
                  <c:v>3.5416666666666603E-2</c:v>
                </c:pt>
                <c:pt idx="35">
                  <c:v>3.6458333333333301E-2</c:v>
                </c:pt>
                <c:pt idx="36">
                  <c:v>3.7499999999999999E-2</c:v>
                </c:pt>
                <c:pt idx="37">
                  <c:v>3.8541666666666599E-2</c:v>
                </c:pt>
                <c:pt idx="38">
                  <c:v>3.9583333333333297E-2</c:v>
                </c:pt>
                <c:pt idx="39">
                  <c:v>4.0625000000000001E-2</c:v>
                </c:pt>
                <c:pt idx="40">
                  <c:v>4.1666666666666602E-2</c:v>
                </c:pt>
                <c:pt idx="41">
                  <c:v>4.27083333333333E-2</c:v>
                </c:pt>
                <c:pt idx="42">
                  <c:v>4.3749999999999997E-2</c:v>
                </c:pt>
                <c:pt idx="43">
                  <c:v>4.4791666666666598E-2</c:v>
                </c:pt>
                <c:pt idx="44">
                  <c:v>4.5833333333333302E-2</c:v>
                </c:pt>
                <c:pt idx="45">
                  <c:v>4.6875E-2</c:v>
                </c:pt>
                <c:pt idx="46">
                  <c:v>4.7916666666666601E-2</c:v>
                </c:pt>
                <c:pt idx="47">
                  <c:v>4.8958333333333298E-2</c:v>
                </c:pt>
                <c:pt idx="48">
                  <c:v>0.05</c:v>
                </c:pt>
                <c:pt idx="49">
                  <c:v>5.1041666666666603E-2</c:v>
                </c:pt>
                <c:pt idx="50">
                  <c:v>5.2083333333333301E-2</c:v>
                </c:pt>
                <c:pt idx="51">
                  <c:v>5.3124999999999999E-2</c:v>
                </c:pt>
                <c:pt idx="52">
                  <c:v>5.4166666666666599E-2</c:v>
                </c:pt>
                <c:pt idx="53">
                  <c:v>5.5208333333333297E-2</c:v>
                </c:pt>
                <c:pt idx="54">
                  <c:v>5.6250000000000001E-2</c:v>
                </c:pt>
                <c:pt idx="55">
                  <c:v>5.7291666666666602E-2</c:v>
                </c:pt>
                <c:pt idx="56">
                  <c:v>5.83333333333333E-2</c:v>
                </c:pt>
                <c:pt idx="57">
                  <c:v>5.9374999999999997E-2</c:v>
                </c:pt>
                <c:pt idx="58">
                  <c:v>6.0416666666666598E-2</c:v>
                </c:pt>
                <c:pt idx="59">
                  <c:v>6.1458333333333302E-2</c:v>
                </c:pt>
                <c:pt idx="60">
                  <c:v>6.25E-2</c:v>
                </c:pt>
                <c:pt idx="61">
                  <c:v>6.3541666666666594E-2</c:v>
                </c:pt>
                <c:pt idx="62">
                  <c:v>6.4583333333333298E-2</c:v>
                </c:pt>
                <c:pt idx="63">
                  <c:v>6.5625000000000003E-2</c:v>
                </c:pt>
                <c:pt idx="64">
                  <c:v>6.6666666666666596E-2</c:v>
                </c:pt>
                <c:pt idx="65">
                  <c:v>6.7708333333333301E-2</c:v>
                </c:pt>
                <c:pt idx="66">
                  <c:v>6.8750000000000006E-2</c:v>
                </c:pt>
                <c:pt idx="67">
                  <c:v>6.9791666666666599E-2</c:v>
                </c:pt>
                <c:pt idx="68">
                  <c:v>7.0833333333333304E-2</c:v>
                </c:pt>
                <c:pt idx="69">
                  <c:v>7.1874999999999994E-2</c:v>
                </c:pt>
                <c:pt idx="70">
                  <c:v>7.2916666666666602E-2</c:v>
                </c:pt>
                <c:pt idx="71">
                  <c:v>7.3958333333333307E-2</c:v>
                </c:pt>
                <c:pt idx="72">
                  <c:v>7.4999999999999997E-2</c:v>
                </c:pt>
                <c:pt idx="73">
                  <c:v>7.6041666666666605E-2</c:v>
                </c:pt>
                <c:pt idx="74">
                  <c:v>7.7083333333333295E-2</c:v>
                </c:pt>
                <c:pt idx="75">
                  <c:v>7.8125E-2</c:v>
                </c:pt>
                <c:pt idx="76">
                  <c:v>7.9166666666666594E-2</c:v>
                </c:pt>
                <c:pt idx="77">
                  <c:v>8.0208333333333298E-2</c:v>
                </c:pt>
                <c:pt idx="78">
                  <c:v>8.1250000000000003E-2</c:v>
                </c:pt>
                <c:pt idx="79">
                  <c:v>8.2291666666666596E-2</c:v>
                </c:pt>
                <c:pt idx="80">
                  <c:v>8.3333333333333301E-2</c:v>
                </c:pt>
                <c:pt idx="81">
                  <c:v>8.4375000000000006E-2</c:v>
                </c:pt>
                <c:pt idx="82">
                  <c:v>8.5416666666666599E-2</c:v>
                </c:pt>
                <c:pt idx="83">
                  <c:v>8.6458333333333304E-2</c:v>
                </c:pt>
                <c:pt idx="84">
                  <c:v>8.7499999999999994E-2</c:v>
                </c:pt>
                <c:pt idx="85">
                  <c:v>8.8541666666666602E-2</c:v>
                </c:pt>
                <c:pt idx="86">
                  <c:v>8.9583333333333307E-2</c:v>
                </c:pt>
                <c:pt idx="87">
                  <c:v>9.0624999999999997E-2</c:v>
                </c:pt>
                <c:pt idx="88">
                  <c:v>9.1666666666666605E-2</c:v>
                </c:pt>
                <c:pt idx="89">
                  <c:v>9.2708333333333295E-2</c:v>
                </c:pt>
                <c:pt idx="90">
                  <c:v>9.375E-2</c:v>
                </c:pt>
                <c:pt idx="91">
                  <c:v>9.4791666666666594E-2</c:v>
                </c:pt>
                <c:pt idx="92">
                  <c:v>9.5833333333333298E-2</c:v>
                </c:pt>
                <c:pt idx="93">
                  <c:v>9.6875000000000003E-2</c:v>
                </c:pt>
                <c:pt idx="94">
                  <c:v>9.7916666666666596E-2</c:v>
                </c:pt>
                <c:pt idx="95">
                  <c:v>9.8958333333333301E-2</c:v>
                </c:pt>
                <c:pt idx="96">
                  <c:v>0.1</c:v>
                </c:pt>
                <c:pt idx="97">
                  <c:v>0.101041666666666</c:v>
                </c:pt>
                <c:pt idx="98">
                  <c:v>0.102083333333333</c:v>
                </c:pt>
                <c:pt idx="99">
                  <c:v>0.10312499999999999</c:v>
                </c:pt>
                <c:pt idx="100">
                  <c:v>0.10416666666666601</c:v>
                </c:pt>
                <c:pt idx="101">
                  <c:v>0.105208333333333</c:v>
                </c:pt>
                <c:pt idx="102">
                  <c:v>0.10625</c:v>
                </c:pt>
                <c:pt idx="103">
                  <c:v>0.10729166666666599</c:v>
                </c:pt>
                <c:pt idx="104">
                  <c:v>0.108333333333333</c:v>
                </c:pt>
                <c:pt idx="105">
                  <c:v>0.109375</c:v>
                </c:pt>
                <c:pt idx="106">
                  <c:v>0.110416666666666</c:v>
                </c:pt>
                <c:pt idx="107">
                  <c:v>0.11145833333333301</c:v>
                </c:pt>
                <c:pt idx="108">
                  <c:v>0.1125</c:v>
                </c:pt>
                <c:pt idx="109">
                  <c:v>0.113541666666666</c:v>
                </c:pt>
                <c:pt idx="110">
                  <c:v>0.114583333333333</c:v>
                </c:pt>
                <c:pt idx="111">
                  <c:v>0.11562500000000001</c:v>
                </c:pt>
                <c:pt idx="112">
                  <c:v>0.116666666666666</c:v>
                </c:pt>
                <c:pt idx="113">
                  <c:v>0.117708333333333</c:v>
                </c:pt>
                <c:pt idx="114">
                  <c:v>0.11874999999999999</c:v>
                </c:pt>
                <c:pt idx="115">
                  <c:v>0.11979166666666601</c:v>
                </c:pt>
                <c:pt idx="116">
                  <c:v>0.120833333333333</c:v>
                </c:pt>
                <c:pt idx="117">
                  <c:v>0.121875</c:v>
                </c:pt>
                <c:pt idx="118">
                  <c:v>0.12291666666666599</c:v>
                </c:pt>
                <c:pt idx="119">
                  <c:v>0.123958333333333</c:v>
                </c:pt>
                <c:pt idx="120">
                  <c:v>0.125</c:v>
                </c:pt>
                <c:pt idx="121">
                  <c:v>0.126041666666666</c:v>
                </c:pt>
                <c:pt idx="122">
                  <c:v>0.12708333333333299</c:v>
                </c:pt>
                <c:pt idx="123">
                  <c:v>0.12812499999999999</c:v>
                </c:pt>
                <c:pt idx="124">
                  <c:v>0.12916666666666601</c:v>
                </c:pt>
                <c:pt idx="125">
                  <c:v>0.13020833333333301</c:v>
                </c:pt>
                <c:pt idx="126">
                  <c:v>0.13125000000000001</c:v>
                </c:pt>
                <c:pt idx="127">
                  <c:v>0.132291666666666</c:v>
                </c:pt>
                <c:pt idx="128">
                  <c:v>0.133333333333333</c:v>
                </c:pt>
                <c:pt idx="129">
                  <c:v>0.13437499999999999</c:v>
                </c:pt>
                <c:pt idx="130">
                  <c:v>0.13541666666666599</c:v>
                </c:pt>
                <c:pt idx="131">
                  <c:v>0.13645833333333299</c:v>
                </c:pt>
                <c:pt idx="132">
                  <c:v>0.13750000000000001</c:v>
                </c:pt>
                <c:pt idx="133">
                  <c:v>0.13854166666666601</c:v>
                </c:pt>
                <c:pt idx="134">
                  <c:v>0.139583333333333</c:v>
                </c:pt>
                <c:pt idx="135">
                  <c:v>0.140625</c:v>
                </c:pt>
                <c:pt idx="136">
                  <c:v>0.141666666666666</c:v>
                </c:pt>
                <c:pt idx="137">
                  <c:v>0.14270833333333299</c:v>
                </c:pt>
                <c:pt idx="138">
                  <c:v>0.14374999999999999</c:v>
                </c:pt>
                <c:pt idx="139">
                  <c:v>0.14479166666666601</c:v>
                </c:pt>
                <c:pt idx="140">
                  <c:v>0.14583333333333301</c:v>
                </c:pt>
                <c:pt idx="141">
                  <c:v>0.14687500000000001</c:v>
                </c:pt>
              </c:numCache>
            </c:numRef>
          </c:xVal>
          <c:yVal>
            <c:numRef>
              <c:f>Feuil1!$R$2:$R$143</c:f>
              <c:numCache>
                <c:formatCode>General</c:formatCode>
                <c:ptCount val="142"/>
                <c:pt idx="0">
                  <c:v>0.10480536912751677</c:v>
                </c:pt>
                <c:pt idx="1">
                  <c:v>0.1088993288590604</c:v>
                </c:pt>
                <c:pt idx="2">
                  <c:v>0.11299328859060402</c:v>
                </c:pt>
                <c:pt idx="3">
                  <c:v>0.11626845637583891</c:v>
                </c:pt>
                <c:pt idx="4">
                  <c:v>0.12036241610738256</c:v>
                </c:pt>
                <c:pt idx="5">
                  <c:v>0.12445637583892617</c:v>
                </c:pt>
                <c:pt idx="6">
                  <c:v>0.1285503355704698</c:v>
                </c:pt>
                <c:pt idx="7">
                  <c:v>0.13264429530201341</c:v>
                </c:pt>
                <c:pt idx="8">
                  <c:v>0.13591946308724831</c:v>
                </c:pt>
                <c:pt idx="9">
                  <c:v>0.14001342281879192</c:v>
                </c:pt>
                <c:pt idx="10">
                  <c:v>0.14410738255033559</c:v>
                </c:pt>
                <c:pt idx="11">
                  <c:v>0.1482013422818792</c:v>
                </c:pt>
                <c:pt idx="12">
                  <c:v>0.1514765100671141</c:v>
                </c:pt>
                <c:pt idx="13">
                  <c:v>0.15557046979865771</c:v>
                </c:pt>
                <c:pt idx="14">
                  <c:v>0.15966442953020132</c:v>
                </c:pt>
                <c:pt idx="15">
                  <c:v>0.16375838926174496</c:v>
                </c:pt>
                <c:pt idx="16">
                  <c:v>0.16785234899328857</c:v>
                </c:pt>
                <c:pt idx="17">
                  <c:v>0.17194630872483221</c:v>
                </c:pt>
                <c:pt idx="18">
                  <c:v>0.17522147651006711</c:v>
                </c:pt>
                <c:pt idx="19">
                  <c:v>0.17931543624161073</c:v>
                </c:pt>
                <c:pt idx="20">
                  <c:v>0.18340939597315437</c:v>
                </c:pt>
                <c:pt idx="21">
                  <c:v>0.18750335570469798</c:v>
                </c:pt>
                <c:pt idx="22">
                  <c:v>0.19159731543624159</c:v>
                </c:pt>
                <c:pt idx="23">
                  <c:v>0.19569127516778523</c:v>
                </c:pt>
                <c:pt idx="24">
                  <c:v>0.19978523489932887</c:v>
                </c:pt>
                <c:pt idx="25">
                  <c:v>0.20387919463087248</c:v>
                </c:pt>
                <c:pt idx="26">
                  <c:v>0.20715436241610738</c:v>
                </c:pt>
                <c:pt idx="27">
                  <c:v>0.21124832214765099</c:v>
                </c:pt>
                <c:pt idx="28">
                  <c:v>0.21534228187919463</c:v>
                </c:pt>
                <c:pt idx="29">
                  <c:v>0.21943624161073824</c:v>
                </c:pt>
                <c:pt idx="30">
                  <c:v>0.22353020134228185</c:v>
                </c:pt>
                <c:pt idx="31">
                  <c:v>0.22762416107382549</c:v>
                </c:pt>
                <c:pt idx="32">
                  <c:v>0.2317181208053691</c:v>
                </c:pt>
                <c:pt idx="33">
                  <c:v>0.23581208053691272</c:v>
                </c:pt>
                <c:pt idx="34">
                  <c:v>0.23990604026845638</c:v>
                </c:pt>
                <c:pt idx="35">
                  <c:v>0.24400000000000002</c:v>
                </c:pt>
                <c:pt idx="36">
                  <c:v>0.24809395973154363</c:v>
                </c:pt>
                <c:pt idx="37">
                  <c:v>0.25218791946308727</c:v>
                </c:pt>
                <c:pt idx="38">
                  <c:v>0.25628187919463086</c:v>
                </c:pt>
                <c:pt idx="39">
                  <c:v>0.2603758389261745</c:v>
                </c:pt>
                <c:pt idx="40">
                  <c:v>0.26446979865771814</c:v>
                </c:pt>
                <c:pt idx="41">
                  <c:v>0.26856375838926172</c:v>
                </c:pt>
                <c:pt idx="42">
                  <c:v>0.27265771812080536</c:v>
                </c:pt>
                <c:pt idx="43">
                  <c:v>0.276751677852349</c:v>
                </c:pt>
                <c:pt idx="44">
                  <c:v>0.28084563758389258</c:v>
                </c:pt>
                <c:pt idx="45">
                  <c:v>0.28493959731543622</c:v>
                </c:pt>
                <c:pt idx="46">
                  <c:v>0.28903355704697986</c:v>
                </c:pt>
                <c:pt idx="47">
                  <c:v>0.2931275167785235</c:v>
                </c:pt>
                <c:pt idx="48">
                  <c:v>0.29722147651006714</c:v>
                </c:pt>
                <c:pt idx="49">
                  <c:v>0.30131543624161072</c:v>
                </c:pt>
                <c:pt idx="50">
                  <c:v>0.30540939597315436</c:v>
                </c:pt>
                <c:pt idx="51">
                  <c:v>0.309503355704698</c:v>
                </c:pt>
                <c:pt idx="52">
                  <c:v>0.31359731543624159</c:v>
                </c:pt>
                <c:pt idx="53">
                  <c:v>0.31769127516778523</c:v>
                </c:pt>
                <c:pt idx="54">
                  <c:v>0.32178523489932886</c:v>
                </c:pt>
                <c:pt idx="55">
                  <c:v>0.32587919463087245</c:v>
                </c:pt>
                <c:pt idx="56">
                  <c:v>0.33079194630872483</c:v>
                </c:pt>
                <c:pt idx="57">
                  <c:v>0.33488590604026841</c:v>
                </c:pt>
                <c:pt idx="58">
                  <c:v>0.33897986577181205</c:v>
                </c:pt>
                <c:pt idx="59">
                  <c:v>0.34307382550335574</c:v>
                </c:pt>
                <c:pt idx="60">
                  <c:v>0.34716778523489933</c:v>
                </c:pt>
                <c:pt idx="61">
                  <c:v>0.35126174496644297</c:v>
                </c:pt>
                <c:pt idx="62">
                  <c:v>0.35535570469798661</c:v>
                </c:pt>
                <c:pt idx="63">
                  <c:v>0.36026845637583893</c:v>
                </c:pt>
                <c:pt idx="64">
                  <c:v>0.36436241610738257</c:v>
                </c:pt>
                <c:pt idx="65">
                  <c:v>0.36681879194630873</c:v>
                </c:pt>
                <c:pt idx="66">
                  <c:v>0.36845637583892615</c:v>
                </c:pt>
                <c:pt idx="67">
                  <c:v>0.36927516778523489</c:v>
                </c:pt>
                <c:pt idx="68">
                  <c:v>0.36845637583892615</c:v>
                </c:pt>
                <c:pt idx="69">
                  <c:v>0.36599999999999999</c:v>
                </c:pt>
                <c:pt idx="70">
                  <c:v>0.36272483221476509</c:v>
                </c:pt>
                <c:pt idx="71">
                  <c:v>0.35944966442953019</c:v>
                </c:pt>
                <c:pt idx="72">
                  <c:v>0.35617449664429529</c:v>
                </c:pt>
                <c:pt idx="73">
                  <c:v>0.35208053691275171</c:v>
                </c:pt>
                <c:pt idx="74">
                  <c:v>0.34880536912751681</c:v>
                </c:pt>
                <c:pt idx="75">
                  <c:v>0.34471140939597317</c:v>
                </c:pt>
                <c:pt idx="76">
                  <c:v>0.34143624161073827</c:v>
                </c:pt>
                <c:pt idx="77">
                  <c:v>0.33734228187919463</c:v>
                </c:pt>
                <c:pt idx="78">
                  <c:v>0.33406711409395973</c:v>
                </c:pt>
                <c:pt idx="79">
                  <c:v>0.33079194630872483</c:v>
                </c:pt>
                <c:pt idx="80">
                  <c:v>0.32669798657718119</c:v>
                </c:pt>
                <c:pt idx="81">
                  <c:v>0.32342281879194629</c:v>
                </c:pt>
                <c:pt idx="82">
                  <c:v>0.31932885906040265</c:v>
                </c:pt>
                <c:pt idx="83">
                  <c:v>0.3160536912751678</c:v>
                </c:pt>
                <c:pt idx="84">
                  <c:v>0.31195973154362416</c:v>
                </c:pt>
                <c:pt idx="85">
                  <c:v>0.30868456375838926</c:v>
                </c:pt>
                <c:pt idx="86">
                  <c:v>0.30459060402684562</c:v>
                </c:pt>
                <c:pt idx="87">
                  <c:v>0.30131543624161072</c:v>
                </c:pt>
                <c:pt idx="88">
                  <c:v>0.29804026845637582</c:v>
                </c:pt>
                <c:pt idx="89">
                  <c:v>0.29394630872483224</c:v>
                </c:pt>
                <c:pt idx="90">
                  <c:v>0.29067114093959734</c:v>
                </c:pt>
                <c:pt idx="91">
                  <c:v>0.28739597315436238</c:v>
                </c:pt>
                <c:pt idx="92">
                  <c:v>0.28330201342281874</c:v>
                </c:pt>
                <c:pt idx="93">
                  <c:v>0.28002684563758384</c:v>
                </c:pt>
                <c:pt idx="94">
                  <c:v>0.276751677852349</c:v>
                </c:pt>
                <c:pt idx="95">
                  <c:v>0.27265771812080536</c:v>
                </c:pt>
                <c:pt idx="96">
                  <c:v>0.26938255033557046</c:v>
                </c:pt>
                <c:pt idx="97">
                  <c:v>0.26610738255033556</c:v>
                </c:pt>
                <c:pt idx="98">
                  <c:v>0.26201342281879192</c:v>
                </c:pt>
                <c:pt idx="99">
                  <c:v>0.25873825503355702</c:v>
                </c:pt>
                <c:pt idx="100">
                  <c:v>0.25546308724832217</c:v>
                </c:pt>
                <c:pt idx="101">
                  <c:v>0.25136912751677853</c:v>
                </c:pt>
                <c:pt idx="102">
                  <c:v>0.24809395973154363</c:v>
                </c:pt>
                <c:pt idx="103">
                  <c:v>0.24481879194630873</c:v>
                </c:pt>
                <c:pt idx="104">
                  <c:v>0.24072483221476512</c:v>
                </c:pt>
                <c:pt idx="105">
                  <c:v>0.23744966442953022</c:v>
                </c:pt>
                <c:pt idx="106">
                  <c:v>0.23417449664429527</c:v>
                </c:pt>
                <c:pt idx="107">
                  <c:v>0.23008053691275165</c:v>
                </c:pt>
                <c:pt idx="108">
                  <c:v>0.22680536912751675</c:v>
                </c:pt>
                <c:pt idx="109">
                  <c:v>0.22353020134228185</c:v>
                </c:pt>
                <c:pt idx="110">
                  <c:v>0.22025503355704695</c:v>
                </c:pt>
                <c:pt idx="111">
                  <c:v>0.21616107382550334</c:v>
                </c:pt>
                <c:pt idx="112">
                  <c:v>0.21288590604026844</c:v>
                </c:pt>
                <c:pt idx="113">
                  <c:v>0.20961073825503354</c:v>
                </c:pt>
                <c:pt idx="114">
                  <c:v>0.20551677852348993</c:v>
                </c:pt>
                <c:pt idx="115">
                  <c:v>0.20224161073825503</c:v>
                </c:pt>
                <c:pt idx="116">
                  <c:v>0.19896644295302013</c:v>
                </c:pt>
                <c:pt idx="117">
                  <c:v>0.19569127516778523</c:v>
                </c:pt>
                <c:pt idx="118">
                  <c:v>0.19159731543624159</c:v>
                </c:pt>
                <c:pt idx="119">
                  <c:v>0.18832214765100672</c:v>
                </c:pt>
                <c:pt idx="120">
                  <c:v>0.18504697986577182</c:v>
                </c:pt>
                <c:pt idx="121">
                  <c:v>0.18177181208053692</c:v>
                </c:pt>
                <c:pt idx="122">
                  <c:v>0.1776778523489933</c:v>
                </c:pt>
                <c:pt idx="123">
                  <c:v>0.1744026845637584</c:v>
                </c:pt>
                <c:pt idx="124">
                  <c:v>0.1711275167785235</c:v>
                </c:pt>
                <c:pt idx="125">
                  <c:v>0.16785234899328857</c:v>
                </c:pt>
                <c:pt idx="126">
                  <c:v>0.16375838926174496</c:v>
                </c:pt>
                <c:pt idx="127">
                  <c:v>0.16048322147651006</c:v>
                </c:pt>
                <c:pt idx="128">
                  <c:v>0.15720805369127516</c:v>
                </c:pt>
                <c:pt idx="129">
                  <c:v>0.15393288590604026</c:v>
                </c:pt>
                <c:pt idx="130">
                  <c:v>0.15065771812080536</c:v>
                </c:pt>
                <c:pt idx="131">
                  <c:v>0.14656375838926175</c:v>
                </c:pt>
                <c:pt idx="132">
                  <c:v>0.14328859060402682</c:v>
                </c:pt>
                <c:pt idx="133">
                  <c:v>0.14001342281879192</c:v>
                </c:pt>
                <c:pt idx="134">
                  <c:v>0.13673825503355705</c:v>
                </c:pt>
                <c:pt idx="135">
                  <c:v>0.13264429530201341</c:v>
                </c:pt>
                <c:pt idx="136">
                  <c:v>0.12936912751677851</c:v>
                </c:pt>
                <c:pt idx="137">
                  <c:v>0.12609395973154364</c:v>
                </c:pt>
                <c:pt idx="138">
                  <c:v>0.12281879194630874</c:v>
                </c:pt>
                <c:pt idx="139">
                  <c:v>0.11954362416107384</c:v>
                </c:pt>
                <c:pt idx="140">
                  <c:v>0.11544966442953018</c:v>
                </c:pt>
                <c:pt idx="141">
                  <c:v>0.1121744966442953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F-41B7-9EC9-CBD5298F0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0888"/>
        <c:axId val="43452936"/>
      </c:scatterChart>
      <c:valAx>
        <c:axId val="4345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2936"/>
        <c:crosses val="autoZero"/>
        <c:crossBetween val="midCat"/>
      </c:valAx>
      <c:valAx>
        <c:axId val="4345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0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Caoutchouc-Polyuréthane: Vitesse en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Feuil1!$P$1</c:f>
              <c:strCache>
                <c:ptCount val="1"/>
                <c:pt idx="0">
                  <c:v>Vitesse 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Feuil1!$P$2:$P$143</c:f>
              <c:numCache>
                <c:formatCode>General</c:formatCode>
                <c:ptCount val="142"/>
                <c:pt idx="1">
                  <c:v>3.9302013422819058</c:v>
                </c:pt>
                <c:pt idx="2">
                  <c:v>3.930201342281868</c:v>
                </c:pt>
                <c:pt idx="3">
                  <c:v>3.1441610738254799</c:v>
                </c:pt>
                <c:pt idx="4">
                  <c:v>3.9302013422819342</c:v>
                </c:pt>
                <c:pt idx="5">
                  <c:v>3.9302013422818547</c:v>
                </c:pt>
                <c:pt idx="6">
                  <c:v>3.9302013422818649</c:v>
                </c:pt>
                <c:pt idx="7">
                  <c:v>3.9302013422818942</c:v>
                </c:pt>
                <c:pt idx="8">
                  <c:v>3.1441610738254946</c:v>
                </c:pt>
                <c:pt idx="9">
                  <c:v>3.9302013422818547</c:v>
                </c:pt>
                <c:pt idx="10">
                  <c:v>3.93020134228217</c:v>
                </c:pt>
                <c:pt idx="11">
                  <c:v>3.9302013422817437</c:v>
                </c:pt>
                <c:pt idx="12">
                  <c:v>3.1441610738254004</c:v>
                </c:pt>
                <c:pt idx="13">
                  <c:v>3.9302013422821234</c:v>
                </c:pt>
                <c:pt idx="14">
                  <c:v>3.930201342281737</c:v>
                </c:pt>
                <c:pt idx="15">
                  <c:v>3.9302013422817703</c:v>
                </c:pt>
                <c:pt idx="16">
                  <c:v>3.9302013422821167</c:v>
                </c:pt>
                <c:pt idx="17">
                  <c:v>3.9302013422817637</c:v>
                </c:pt>
                <c:pt idx="18">
                  <c:v>3.1441610738254107</c:v>
                </c:pt>
                <c:pt idx="19">
                  <c:v>3.9302013422821167</c:v>
                </c:pt>
                <c:pt idx="20">
                  <c:v>3.9302013422817637</c:v>
                </c:pt>
                <c:pt idx="21">
                  <c:v>3.9302013422817503</c:v>
                </c:pt>
                <c:pt idx="22">
                  <c:v>3.9302013422821167</c:v>
                </c:pt>
                <c:pt idx="23">
                  <c:v>3.9302013422817637</c:v>
                </c:pt>
                <c:pt idx="24">
                  <c:v>3.9302013422817637</c:v>
                </c:pt>
                <c:pt idx="25">
                  <c:v>3.9302013422821296</c:v>
                </c:pt>
                <c:pt idx="26">
                  <c:v>3.1441610738254004</c:v>
                </c:pt>
                <c:pt idx="27">
                  <c:v>3.930201342281737</c:v>
                </c:pt>
                <c:pt idx="28">
                  <c:v>3.9302013422821434</c:v>
                </c:pt>
                <c:pt idx="29">
                  <c:v>3.9302013422817503</c:v>
                </c:pt>
                <c:pt idx="30">
                  <c:v>3.930201342281737</c:v>
                </c:pt>
                <c:pt idx="31">
                  <c:v>3.9302013422821434</c:v>
                </c:pt>
                <c:pt idx="32">
                  <c:v>3.9302013422817503</c:v>
                </c:pt>
                <c:pt idx="33">
                  <c:v>3.9302013422817241</c:v>
                </c:pt>
                <c:pt idx="34">
                  <c:v>3.93020134228217</c:v>
                </c:pt>
                <c:pt idx="35">
                  <c:v>3.930201342281777</c:v>
                </c:pt>
                <c:pt idx="36">
                  <c:v>3.9302013422817503</c:v>
                </c:pt>
                <c:pt idx="37">
                  <c:v>3.9302013422821434</c:v>
                </c:pt>
                <c:pt idx="38">
                  <c:v>3.9302013422817237</c:v>
                </c:pt>
                <c:pt idx="39">
                  <c:v>3.9302013422817508</c:v>
                </c:pt>
                <c:pt idx="40">
                  <c:v>3.9302013422821434</c:v>
                </c:pt>
                <c:pt idx="41">
                  <c:v>3.9302013422817237</c:v>
                </c:pt>
                <c:pt idx="42">
                  <c:v>3.930201342281777</c:v>
                </c:pt>
                <c:pt idx="43">
                  <c:v>3.9302013422821434</c:v>
                </c:pt>
                <c:pt idx="44">
                  <c:v>3.9302013422816975</c:v>
                </c:pt>
                <c:pt idx="45">
                  <c:v>3.930201342281777</c:v>
                </c:pt>
                <c:pt idx="46">
                  <c:v>3.9302013422821434</c:v>
                </c:pt>
                <c:pt idx="47">
                  <c:v>3.930201342281777</c:v>
                </c:pt>
                <c:pt idx="48">
                  <c:v>3.9302013422817508</c:v>
                </c:pt>
                <c:pt idx="49">
                  <c:v>3.9302013422820901</c:v>
                </c:pt>
                <c:pt idx="50">
                  <c:v>3.930201342281777</c:v>
                </c:pt>
                <c:pt idx="51">
                  <c:v>3.930201342281777</c:v>
                </c:pt>
                <c:pt idx="52">
                  <c:v>3.9302013422820901</c:v>
                </c:pt>
                <c:pt idx="53">
                  <c:v>3.930201342281777</c:v>
                </c:pt>
                <c:pt idx="54">
                  <c:v>3.9302013422817508</c:v>
                </c:pt>
                <c:pt idx="55">
                  <c:v>3.9302013422820901</c:v>
                </c:pt>
                <c:pt idx="56">
                  <c:v>4.7162416107381429</c:v>
                </c:pt>
                <c:pt idx="57">
                  <c:v>3.9302013422817237</c:v>
                </c:pt>
                <c:pt idx="58">
                  <c:v>3.9302013422821434</c:v>
                </c:pt>
                <c:pt idx="59">
                  <c:v>3.9302013422818041</c:v>
                </c:pt>
                <c:pt idx="60">
                  <c:v>3.9302013422817237</c:v>
                </c:pt>
                <c:pt idx="61">
                  <c:v>3.9302013422821696</c:v>
                </c:pt>
                <c:pt idx="62">
                  <c:v>3.9302013422817508</c:v>
                </c:pt>
                <c:pt idx="63">
                  <c:v>4.7162416107380585</c:v>
                </c:pt>
                <c:pt idx="64">
                  <c:v>3.9302013422821696</c:v>
                </c:pt>
                <c:pt idx="65">
                  <c:v>2.3581208053690292</c:v>
                </c:pt>
                <c:pt idx="66">
                  <c:v>1.5720805369126682</c:v>
                </c:pt>
                <c:pt idx="67">
                  <c:v>0.78604026845644459</c:v>
                </c:pt>
                <c:pt idx="68">
                  <c:v>-0.78604026845636077</c:v>
                </c:pt>
                <c:pt idx="69">
                  <c:v>-2.3581208053690603</c:v>
                </c:pt>
                <c:pt idx="70">
                  <c:v>-3.1441610738256829</c:v>
                </c:pt>
                <c:pt idx="71">
                  <c:v>-3.1441610738253898</c:v>
                </c:pt>
                <c:pt idx="72">
                  <c:v>-3.144161073825432</c:v>
                </c:pt>
                <c:pt idx="73">
                  <c:v>-3.9302013422820639</c:v>
                </c:pt>
                <c:pt idx="74">
                  <c:v>-3.144161073825432</c:v>
                </c:pt>
                <c:pt idx="75">
                  <c:v>-3.9302013422817508</c:v>
                </c:pt>
                <c:pt idx="76">
                  <c:v>-3.1441610738257251</c:v>
                </c:pt>
                <c:pt idx="77">
                  <c:v>-3.9302013422817508</c:v>
                </c:pt>
                <c:pt idx="78">
                  <c:v>-3.1441610738253898</c:v>
                </c:pt>
                <c:pt idx="79">
                  <c:v>-3.1441610738257251</c:v>
                </c:pt>
                <c:pt idx="80">
                  <c:v>-3.9302013422817508</c:v>
                </c:pt>
                <c:pt idx="81">
                  <c:v>-3.1441610738253898</c:v>
                </c:pt>
                <c:pt idx="82">
                  <c:v>-3.9302013422821696</c:v>
                </c:pt>
                <c:pt idx="83">
                  <c:v>-3.1441610738253365</c:v>
                </c:pt>
                <c:pt idx="84">
                  <c:v>-3.9302013422818032</c:v>
                </c:pt>
                <c:pt idx="85">
                  <c:v>-3.1441610738256829</c:v>
                </c:pt>
                <c:pt idx="86">
                  <c:v>-3.9302013422817508</c:v>
                </c:pt>
                <c:pt idx="87">
                  <c:v>-3.144161073825432</c:v>
                </c:pt>
                <c:pt idx="88">
                  <c:v>-3.1441610738256829</c:v>
                </c:pt>
                <c:pt idx="89">
                  <c:v>-3.9302013422817499</c:v>
                </c:pt>
                <c:pt idx="90">
                  <c:v>-3.1441610738253898</c:v>
                </c:pt>
                <c:pt idx="91">
                  <c:v>-3.1441610738257784</c:v>
                </c:pt>
                <c:pt idx="92">
                  <c:v>-3.9302013422817508</c:v>
                </c:pt>
                <c:pt idx="93">
                  <c:v>-3.1441610738253898</c:v>
                </c:pt>
                <c:pt idx="94">
                  <c:v>-3.1441610738256718</c:v>
                </c:pt>
                <c:pt idx="95">
                  <c:v>-3.9302013422817508</c:v>
                </c:pt>
                <c:pt idx="96">
                  <c:v>-3.1441610738253898</c:v>
                </c:pt>
                <c:pt idx="97">
                  <c:v>-3.1441610738275263</c:v>
                </c:pt>
                <c:pt idx="98">
                  <c:v>-3.9302013422806512</c:v>
                </c:pt>
                <c:pt idx="99">
                  <c:v>-3.14416107382451</c:v>
                </c:pt>
                <c:pt idx="100">
                  <c:v>-3.1441610738274308</c:v>
                </c:pt>
                <c:pt idx="101">
                  <c:v>-3.9302013422806512</c:v>
                </c:pt>
                <c:pt idx="102">
                  <c:v>-3.14416107382451</c:v>
                </c:pt>
                <c:pt idx="103">
                  <c:v>-3.1441610738275263</c:v>
                </c:pt>
                <c:pt idx="104">
                  <c:v>-3.9302013422805722</c:v>
                </c:pt>
                <c:pt idx="105">
                  <c:v>-3.14416107382451</c:v>
                </c:pt>
                <c:pt idx="106">
                  <c:v>-3.1441610738275796</c:v>
                </c:pt>
                <c:pt idx="107">
                  <c:v>-3.9302013422805722</c:v>
                </c:pt>
                <c:pt idx="108">
                  <c:v>-3.14416107382451</c:v>
                </c:pt>
                <c:pt idx="109">
                  <c:v>-3.1441610738275263</c:v>
                </c:pt>
                <c:pt idx="110">
                  <c:v>-3.14416107382451</c:v>
                </c:pt>
                <c:pt idx="111">
                  <c:v>-3.9302013422805722</c:v>
                </c:pt>
                <c:pt idx="112">
                  <c:v>-3.1441610738275263</c:v>
                </c:pt>
                <c:pt idx="113">
                  <c:v>-3.14416107382451</c:v>
                </c:pt>
                <c:pt idx="114">
                  <c:v>-3.9302013422806246</c:v>
                </c:pt>
                <c:pt idx="115">
                  <c:v>-3.1441610738274841</c:v>
                </c:pt>
                <c:pt idx="116">
                  <c:v>-3.14416107382451</c:v>
                </c:pt>
                <c:pt idx="117">
                  <c:v>-3.14416107382451</c:v>
                </c:pt>
                <c:pt idx="118">
                  <c:v>-3.9302013422844211</c:v>
                </c:pt>
                <c:pt idx="119">
                  <c:v>-3.1441610738244417</c:v>
                </c:pt>
                <c:pt idx="120">
                  <c:v>-3.14416107382451</c:v>
                </c:pt>
                <c:pt idx="121">
                  <c:v>-3.1441610738275263</c:v>
                </c:pt>
                <c:pt idx="122">
                  <c:v>-3.9302013422806246</c:v>
                </c:pt>
                <c:pt idx="123">
                  <c:v>-3.14416107382451</c:v>
                </c:pt>
                <c:pt idx="124">
                  <c:v>-3.1441610738274424</c:v>
                </c:pt>
                <c:pt idx="125">
                  <c:v>-3.1441610738245367</c:v>
                </c:pt>
                <c:pt idx="126">
                  <c:v>-3.9302013422806246</c:v>
                </c:pt>
                <c:pt idx="127">
                  <c:v>-3.1441610738275263</c:v>
                </c:pt>
                <c:pt idx="128">
                  <c:v>-3.14416107382451</c:v>
                </c:pt>
                <c:pt idx="129">
                  <c:v>-3.14416107382451</c:v>
                </c:pt>
                <c:pt idx="130">
                  <c:v>-3.1441610738275263</c:v>
                </c:pt>
                <c:pt idx="131">
                  <c:v>-3.9302013422806246</c:v>
                </c:pt>
                <c:pt idx="132">
                  <c:v>-3.1441610738244532</c:v>
                </c:pt>
                <c:pt idx="133">
                  <c:v>-3.1441610738275263</c:v>
                </c:pt>
                <c:pt idx="134">
                  <c:v>-3.1441610738244834</c:v>
                </c:pt>
                <c:pt idx="135">
                  <c:v>-3.9302013422806512</c:v>
                </c:pt>
                <c:pt idx="136">
                  <c:v>-3.1441610738275263</c:v>
                </c:pt>
                <c:pt idx="137">
                  <c:v>-3.1441610738244834</c:v>
                </c:pt>
                <c:pt idx="138">
                  <c:v>-3.14416107382451</c:v>
                </c:pt>
                <c:pt idx="139">
                  <c:v>-3.1441610738274424</c:v>
                </c:pt>
                <c:pt idx="140">
                  <c:v>-3.9302013422806645</c:v>
                </c:pt>
                <c:pt idx="141">
                  <c:v>-3.1441610738244967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7-43E0-84F8-9B5E2C218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17704"/>
        <c:axId val="682719752"/>
      </c:scatterChart>
      <c:valAx>
        <c:axId val="68271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19752"/>
        <c:crosses val="autoZero"/>
        <c:crossBetween val="midCat"/>
      </c:valAx>
      <c:valAx>
        <c:axId val="68271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17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Cuir-Polyuréthane: Position sur l'axe -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Position (en m sur -Y)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Feuil1!$C$2:$C$143</c:f>
              <c:numCache>
                <c:formatCode>General</c:formatCode>
                <c:ptCount val="142"/>
                <c:pt idx="0">
                  <c:v>0</c:v>
                </c:pt>
                <c:pt idx="1">
                  <c:v>1.0416666666666599E-3</c:v>
                </c:pt>
                <c:pt idx="2">
                  <c:v>2.0833333333333298E-3</c:v>
                </c:pt>
                <c:pt idx="3">
                  <c:v>3.1250000000000002E-3</c:v>
                </c:pt>
                <c:pt idx="4">
                  <c:v>4.1666666666666597E-3</c:v>
                </c:pt>
                <c:pt idx="5">
                  <c:v>5.2083333333333296E-3</c:v>
                </c:pt>
                <c:pt idx="6">
                  <c:v>6.2500000000000003E-3</c:v>
                </c:pt>
                <c:pt idx="7">
                  <c:v>7.2916666666666598E-3</c:v>
                </c:pt>
                <c:pt idx="8">
                  <c:v>8.3333333333333297E-3</c:v>
                </c:pt>
                <c:pt idx="9">
                  <c:v>9.3749999999999997E-3</c:v>
                </c:pt>
                <c:pt idx="10">
                  <c:v>1.04166666666666E-2</c:v>
                </c:pt>
                <c:pt idx="11">
                  <c:v>1.14583333333333E-2</c:v>
                </c:pt>
                <c:pt idx="12">
                  <c:v>1.2500000000000001E-2</c:v>
                </c:pt>
                <c:pt idx="13">
                  <c:v>1.3541666666666599E-2</c:v>
                </c:pt>
                <c:pt idx="14">
                  <c:v>1.4583333333333301E-2</c:v>
                </c:pt>
                <c:pt idx="15">
                  <c:v>1.5625E-2</c:v>
                </c:pt>
                <c:pt idx="16">
                  <c:v>1.6666666666666601E-2</c:v>
                </c:pt>
                <c:pt idx="17">
                  <c:v>1.7708333333333302E-2</c:v>
                </c:pt>
                <c:pt idx="18">
                  <c:v>1.8749999999999999E-2</c:v>
                </c:pt>
                <c:pt idx="19">
                  <c:v>1.97916666666666E-2</c:v>
                </c:pt>
                <c:pt idx="20">
                  <c:v>2.0833333333333301E-2</c:v>
                </c:pt>
                <c:pt idx="21">
                  <c:v>2.1874999999999999E-2</c:v>
                </c:pt>
                <c:pt idx="22">
                  <c:v>2.2916666666666599E-2</c:v>
                </c:pt>
                <c:pt idx="23">
                  <c:v>2.39583333333333E-2</c:v>
                </c:pt>
                <c:pt idx="24">
                  <c:v>2.5000000000000001E-2</c:v>
                </c:pt>
                <c:pt idx="25">
                  <c:v>2.6041666666666598E-2</c:v>
                </c:pt>
                <c:pt idx="26">
                  <c:v>2.70833333333333E-2</c:v>
                </c:pt>
                <c:pt idx="27">
                  <c:v>2.8125000000000001E-2</c:v>
                </c:pt>
                <c:pt idx="28">
                  <c:v>2.9166666666666601E-2</c:v>
                </c:pt>
                <c:pt idx="29">
                  <c:v>3.0208333333333299E-2</c:v>
                </c:pt>
                <c:pt idx="30">
                  <c:v>3.125E-2</c:v>
                </c:pt>
                <c:pt idx="31">
                  <c:v>3.2291666666666601E-2</c:v>
                </c:pt>
                <c:pt idx="32">
                  <c:v>3.3333333333333298E-2</c:v>
                </c:pt>
                <c:pt idx="33">
                  <c:v>3.4375000000000003E-2</c:v>
                </c:pt>
                <c:pt idx="34">
                  <c:v>3.5416666666666603E-2</c:v>
                </c:pt>
                <c:pt idx="35">
                  <c:v>3.6458333333333301E-2</c:v>
                </c:pt>
                <c:pt idx="36">
                  <c:v>3.7499999999999999E-2</c:v>
                </c:pt>
                <c:pt idx="37">
                  <c:v>3.8541666666666599E-2</c:v>
                </c:pt>
                <c:pt idx="38">
                  <c:v>3.9583333333333297E-2</c:v>
                </c:pt>
                <c:pt idx="39">
                  <c:v>4.0625000000000001E-2</c:v>
                </c:pt>
                <c:pt idx="40">
                  <c:v>4.1666666666666602E-2</c:v>
                </c:pt>
                <c:pt idx="41">
                  <c:v>4.27083333333333E-2</c:v>
                </c:pt>
                <c:pt idx="42">
                  <c:v>4.3749999999999997E-2</c:v>
                </c:pt>
                <c:pt idx="43">
                  <c:v>4.4791666666666598E-2</c:v>
                </c:pt>
                <c:pt idx="44">
                  <c:v>4.5833333333333302E-2</c:v>
                </c:pt>
                <c:pt idx="45">
                  <c:v>4.6875E-2</c:v>
                </c:pt>
                <c:pt idx="46">
                  <c:v>4.7916666666666601E-2</c:v>
                </c:pt>
                <c:pt idx="47">
                  <c:v>4.8958333333333298E-2</c:v>
                </c:pt>
                <c:pt idx="48">
                  <c:v>0.05</c:v>
                </c:pt>
                <c:pt idx="49">
                  <c:v>5.1041666666666603E-2</c:v>
                </c:pt>
                <c:pt idx="50">
                  <c:v>5.2083333333333301E-2</c:v>
                </c:pt>
                <c:pt idx="51">
                  <c:v>5.3124999999999999E-2</c:v>
                </c:pt>
                <c:pt idx="52">
                  <c:v>5.4166666666666599E-2</c:v>
                </c:pt>
                <c:pt idx="53">
                  <c:v>5.5208333333333297E-2</c:v>
                </c:pt>
                <c:pt idx="54">
                  <c:v>5.6250000000000001E-2</c:v>
                </c:pt>
                <c:pt idx="55">
                  <c:v>5.7291666666666602E-2</c:v>
                </c:pt>
                <c:pt idx="56">
                  <c:v>5.83333333333333E-2</c:v>
                </c:pt>
                <c:pt idx="57">
                  <c:v>5.9374999999999997E-2</c:v>
                </c:pt>
                <c:pt idx="58">
                  <c:v>6.0416666666666598E-2</c:v>
                </c:pt>
                <c:pt idx="59">
                  <c:v>6.1458333333333302E-2</c:v>
                </c:pt>
                <c:pt idx="60">
                  <c:v>6.25E-2</c:v>
                </c:pt>
                <c:pt idx="61">
                  <c:v>6.3541666666666594E-2</c:v>
                </c:pt>
                <c:pt idx="62">
                  <c:v>6.4583333333333298E-2</c:v>
                </c:pt>
                <c:pt idx="63">
                  <c:v>6.5625000000000003E-2</c:v>
                </c:pt>
                <c:pt idx="64">
                  <c:v>6.6666666666666596E-2</c:v>
                </c:pt>
                <c:pt idx="65">
                  <c:v>6.7708333333333301E-2</c:v>
                </c:pt>
                <c:pt idx="66">
                  <c:v>6.8750000000000006E-2</c:v>
                </c:pt>
                <c:pt idx="67">
                  <c:v>6.9791666666666599E-2</c:v>
                </c:pt>
                <c:pt idx="68">
                  <c:v>7.0833333333333304E-2</c:v>
                </c:pt>
                <c:pt idx="69">
                  <c:v>7.1874999999999994E-2</c:v>
                </c:pt>
                <c:pt idx="70">
                  <c:v>7.2916666666666602E-2</c:v>
                </c:pt>
                <c:pt idx="71">
                  <c:v>7.3958333333333307E-2</c:v>
                </c:pt>
                <c:pt idx="72">
                  <c:v>7.4999999999999997E-2</c:v>
                </c:pt>
                <c:pt idx="73">
                  <c:v>7.6041666666666605E-2</c:v>
                </c:pt>
                <c:pt idx="74">
                  <c:v>7.7083333333333295E-2</c:v>
                </c:pt>
                <c:pt idx="75">
                  <c:v>7.8125E-2</c:v>
                </c:pt>
                <c:pt idx="76">
                  <c:v>7.9166666666666594E-2</c:v>
                </c:pt>
                <c:pt idx="77">
                  <c:v>8.0208333333333298E-2</c:v>
                </c:pt>
                <c:pt idx="78">
                  <c:v>8.1250000000000003E-2</c:v>
                </c:pt>
                <c:pt idx="79">
                  <c:v>8.2291666666666596E-2</c:v>
                </c:pt>
                <c:pt idx="80">
                  <c:v>8.3333333333333301E-2</c:v>
                </c:pt>
                <c:pt idx="81">
                  <c:v>8.4375000000000006E-2</c:v>
                </c:pt>
                <c:pt idx="82">
                  <c:v>8.5416666666666599E-2</c:v>
                </c:pt>
                <c:pt idx="83">
                  <c:v>8.6458333333333304E-2</c:v>
                </c:pt>
                <c:pt idx="84">
                  <c:v>8.7499999999999994E-2</c:v>
                </c:pt>
                <c:pt idx="85">
                  <c:v>8.8541666666666602E-2</c:v>
                </c:pt>
                <c:pt idx="86">
                  <c:v>8.9583333333333307E-2</c:v>
                </c:pt>
                <c:pt idx="87">
                  <c:v>9.0624999999999997E-2</c:v>
                </c:pt>
                <c:pt idx="88">
                  <c:v>9.1666666666666605E-2</c:v>
                </c:pt>
                <c:pt idx="89">
                  <c:v>9.2708333333333295E-2</c:v>
                </c:pt>
                <c:pt idx="90">
                  <c:v>9.375E-2</c:v>
                </c:pt>
                <c:pt idx="91">
                  <c:v>9.4791666666666594E-2</c:v>
                </c:pt>
                <c:pt idx="92">
                  <c:v>9.5833333333333298E-2</c:v>
                </c:pt>
                <c:pt idx="93">
                  <c:v>9.6875000000000003E-2</c:v>
                </c:pt>
                <c:pt idx="94">
                  <c:v>9.7916666666666596E-2</c:v>
                </c:pt>
                <c:pt idx="95">
                  <c:v>9.8958333333333301E-2</c:v>
                </c:pt>
                <c:pt idx="96">
                  <c:v>0.1</c:v>
                </c:pt>
                <c:pt idx="97">
                  <c:v>0.101041666666666</c:v>
                </c:pt>
                <c:pt idx="98">
                  <c:v>0.102083333333333</c:v>
                </c:pt>
                <c:pt idx="99">
                  <c:v>0.10312499999999999</c:v>
                </c:pt>
                <c:pt idx="100">
                  <c:v>0.10416666666666601</c:v>
                </c:pt>
                <c:pt idx="101">
                  <c:v>0.105208333333333</c:v>
                </c:pt>
                <c:pt idx="102">
                  <c:v>0.10625</c:v>
                </c:pt>
                <c:pt idx="103">
                  <c:v>0.10729166666666599</c:v>
                </c:pt>
                <c:pt idx="104">
                  <c:v>0.108333333333333</c:v>
                </c:pt>
                <c:pt idx="105">
                  <c:v>0.109375</c:v>
                </c:pt>
                <c:pt idx="106">
                  <c:v>0.110416666666666</c:v>
                </c:pt>
                <c:pt idx="107">
                  <c:v>0.11145833333333301</c:v>
                </c:pt>
                <c:pt idx="108">
                  <c:v>0.1125</c:v>
                </c:pt>
                <c:pt idx="109">
                  <c:v>0.113541666666666</c:v>
                </c:pt>
                <c:pt idx="110">
                  <c:v>0.114583333333333</c:v>
                </c:pt>
                <c:pt idx="111">
                  <c:v>0.11562500000000001</c:v>
                </c:pt>
                <c:pt idx="112">
                  <c:v>0.116666666666666</c:v>
                </c:pt>
                <c:pt idx="113">
                  <c:v>0.117708333333333</c:v>
                </c:pt>
                <c:pt idx="114">
                  <c:v>0.11874999999999999</c:v>
                </c:pt>
                <c:pt idx="115">
                  <c:v>0.11979166666666601</c:v>
                </c:pt>
                <c:pt idx="116">
                  <c:v>0.120833333333333</c:v>
                </c:pt>
                <c:pt idx="117">
                  <c:v>0.121875</c:v>
                </c:pt>
                <c:pt idx="118">
                  <c:v>0.12291666666666599</c:v>
                </c:pt>
                <c:pt idx="119">
                  <c:v>0.123958333333333</c:v>
                </c:pt>
                <c:pt idx="120">
                  <c:v>0.125</c:v>
                </c:pt>
                <c:pt idx="121">
                  <c:v>0.126041666666666</c:v>
                </c:pt>
                <c:pt idx="122">
                  <c:v>0.12708333333333299</c:v>
                </c:pt>
                <c:pt idx="123">
                  <c:v>0.12812499999999999</c:v>
                </c:pt>
                <c:pt idx="124">
                  <c:v>0.12916666666666601</c:v>
                </c:pt>
                <c:pt idx="125">
                  <c:v>0.13020833333333301</c:v>
                </c:pt>
                <c:pt idx="126">
                  <c:v>0.13125000000000001</c:v>
                </c:pt>
                <c:pt idx="127">
                  <c:v>0.132291666666666</c:v>
                </c:pt>
                <c:pt idx="128">
                  <c:v>0.133333333333333</c:v>
                </c:pt>
                <c:pt idx="129">
                  <c:v>0.13437499999999999</c:v>
                </c:pt>
                <c:pt idx="130">
                  <c:v>0.13541666666666599</c:v>
                </c:pt>
                <c:pt idx="131">
                  <c:v>0.13645833333333299</c:v>
                </c:pt>
                <c:pt idx="132">
                  <c:v>0.13750000000000001</c:v>
                </c:pt>
                <c:pt idx="133">
                  <c:v>0.13854166666666601</c:v>
                </c:pt>
                <c:pt idx="134">
                  <c:v>0.139583333333333</c:v>
                </c:pt>
                <c:pt idx="135">
                  <c:v>0.140625</c:v>
                </c:pt>
                <c:pt idx="136">
                  <c:v>0.141666666666666</c:v>
                </c:pt>
                <c:pt idx="137">
                  <c:v>0.14270833333333299</c:v>
                </c:pt>
              </c:numCache>
            </c:numRef>
          </c:xVal>
          <c:yVal>
            <c:numRef>
              <c:f>Feuil1!$D$2:$D$143</c:f>
              <c:numCache>
                <c:formatCode>General</c:formatCode>
                <c:ptCount val="142"/>
                <c:pt idx="0">
                  <c:v>9.7070063694267517E-2</c:v>
                </c:pt>
                <c:pt idx="1">
                  <c:v>0.10089171974522293</c:v>
                </c:pt>
                <c:pt idx="2">
                  <c:v>0.10547770700636942</c:v>
                </c:pt>
                <c:pt idx="3">
                  <c:v>0.10929936305732484</c:v>
                </c:pt>
                <c:pt idx="4">
                  <c:v>0.11312101910828024</c:v>
                </c:pt>
                <c:pt idx="5">
                  <c:v>0.11694267515923566</c:v>
                </c:pt>
                <c:pt idx="6">
                  <c:v>0.12076433121019109</c:v>
                </c:pt>
                <c:pt idx="7">
                  <c:v>0.12458598726114649</c:v>
                </c:pt>
                <c:pt idx="8">
                  <c:v>0.12840764331210192</c:v>
                </c:pt>
                <c:pt idx="9">
                  <c:v>0.1322292993630573</c:v>
                </c:pt>
                <c:pt idx="10">
                  <c:v>0.13605095541401274</c:v>
                </c:pt>
                <c:pt idx="11">
                  <c:v>0.14063694267515922</c:v>
                </c:pt>
                <c:pt idx="12">
                  <c:v>0.14445859872611463</c:v>
                </c:pt>
                <c:pt idx="13">
                  <c:v>0.14828025477707005</c:v>
                </c:pt>
                <c:pt idx="14">
                  <c:v>0.15210191082802546</c:v>
                </c:pt>
                <c:pt idx="15">
                  <c:v>0.1559235668789809</c:v>
                </c:pt>
                <c:pt idx="16">
                  <c:v>0.16050955414012738</c:v>
                </c:pt>
                <c:pt idx="17">
                  <c:v>0.16433121019108279</c:v>
                </c:pt>
                <c:pt idx="18">
                  <c:v>0.16815286624203821</c:v>
                </c:pt>
                <c:pt idx="19">
                  <c:v>0.17197452229299362</c:v>
                </c:pt>
                <c:pt idx="20">
                  <c:v>0.17656050955414013</c:v>
                </c:pt>
                <c:pt idx="21">
                  <c:v>0.18038216560509554</c:v>
                </c:pt>
                <c:pt idx="22">
                  <c:v>0.18420382165605095</c:v>
                </c:pt>
                <c:pt idx="23">
                  <c:v>0.18878980891719746</c:v>
                </c:pt>
                <c:pt idx="24">
                  <c:v>0.19261146496815285</c:v>
                </c:pt>
                <c:pt idx="25">
                  <c:v>0.19643312101910829</c:v>
                </c:pt>
                <c:pt idx="26">
                  <c:v>0.20025477707006367</c:v>
                </c:pt>
                <c:pt idx="27">
                  <c:v>0.20484076433121018</c:v>
                </c:pt>
                <c:pt idx="28">
                  <c:v>0.20866242038216559</c:v>
                </c:pt>
                <c:pt idx="29">
                  <c:v>0.21324840764331207</c:v>
                </c:pt>
                <c:pt idx="30">
                  <c:v>0.21707006369426751</c:v>
                </c:pt>
                <c:pt idx="31">
                  <c:v>0.22165605095541399</c:v>
                </c:pt>
                <c:pt idx="32">
                  <c:v>0.2254777070063694</c:v>
                </c:pt>
                <c:pt idx="33">
                  <c:v>0.22929936305732485</c:v>
                </c:pt>
                <c:pt idx="34">
                  <c:v>0.23388535031847132</c:v>
                </c:pt>
                <c:pt idx="35">
                  <c:v>0.23847133757961783</c:v>
                </c:pt>
                <c:pt idx="36">
                  <c:v>0.24229299363057324</c:v>
                </c:pt>
                <c:pt idx="37">
                  <c:v>0.24611464968152866</c:v>
                </c:pt>
                <c:pt idx="38">
                  <c:v>0.2499363057324841</c:v>
                </c:pt>
                <c:pt idx="39">
                  <c:v>0.25452229299363061</c:v>
                </c:pt>
                <c:pt idx="40">
                  <c:v>0.25834394904458596</c:v>
                </c:pt>
                <c:pt idx="41">
                  <c:v>0.26292993630573247</c:v>
                </c:pt>
                <c:pt idx="42">
                  <c:v>0.26675159235668788</c:v>
                </c:pt>
                <c:pt idx="43">
                  <c:v>0.2705732484076433</c:v>
                </c:pt>
                <c:pt idx="44">
                  <c:v>0.2751592356687898</c:v>
                </c:pt>
                <c:pt idx="45">
                  <c:v>0.27974522292993631</c:v>
                </c:pt>
                <c:pt idx="46">
                  <c:v>0.28356687898089167</c:v>
                </c:pt>
                <c:pt idx="47">
                  <c:v>0.28738853503184714</c:v>
                </c:pt>
                <c:pt idx="48">
                  <c:v>0.29197452229299359</c:v>
                </c:pt>
                <c:pt idx="49">
                  <c:v>0.29656050955414009</c:v>
                </c:pt>
                <c:pt idx="50">
                  <c:v>0.30038216560509551</c:v>
                </c:pt>
                <c:pt idx="51">
                  <c:v>0.30420382165605092</c:v>
                </c:pt>
                <c:pt idx="52">
                  <c:v>0.30878980891719743</c:v>
                </c:pt>
                <c:pt idx="53">
                  <c:v>0.31337579617834393</c:v>
                </c:pt>
                <c:pt idx="54">
                  <c:v>0.31719745222929935</c:v>
                </c:pt>
                <c:pt idx="55">
                  <c:v>0.32178343949044586</c:v>
                </c:pt>
                <c:pt idx="56">
                  <c:v>0.32560509554140127</c:v>
                </c:pt>
                <c:pt idx="57">
                  <c:v>0.33019108280254772</c:v>
                </c:pt>
                <c:pt idx="58">
                  <c:v>0.33324840764331209</c:v>
                </c:pt>
                <c:pt idx="59">
                  <c:v>0.3378343949044586</c:v>
                </c:pt>
                <c:pt idx="60">
                  <c:v>0.34165605095541401</c:v>
                </c:pt>
                <c:pt idx="61">
                  <c:v>0.34471337579617833</c:v>
                </c:pt>
                <c:pt idx="62">
                  <c:v>0.34547770700636937</c:v>
                </c:pt>
                <c:pt idx="63">
                  <c:v>0.34547770700636937</c:v>
                </c:pt>
                <c:pt idx="64">
                  <c:v>0.34394904458598724</c:v>
                </c:pt>
                <c:pt idx="65">
                  <c:v>0.34165605095541401</c:v>
                </c:pt>
                <c:pt idx="66">
                  <c:v>0.33859872611464964</c:v>
                </c:pt>
                <c:pt idx="67">
                  <c:v>0.33554140127388538</c:v>
                </c:pt>
                <c:pt idx="68">
                  <c:v>0.33171974522292991</c:v>
                </c:pt>
                <c:pt idx="69">
                  <c:v>0.32866242038216559</c:v>
                </c:pt>
                <c:pt idx="70">
                  <c:v>0.32560509554140127</c:v>
                </c:pt>
                <c:pt idx="71">
                  <c:v>0.32178343949044586</c:v>
                </c:pt>
                <c:pt idx="72">
                  <c:v>0.31872611464968154</c:v>
                </c:pt>
                <c:pt idx="73">
                  <c:v>0.31566878980891716</c:v>
                </c:pt>
                <c:pt idx="74">
                  <c:v>0.3118471337579618</c:v>
                </c:pt>
                <c:pt idx="75">
                  <c:v>0.30878980891719743</c:v>
                </c:pt>
                <c:pt idx="76">
                  <c:v>0.30496815286624201</c:v>
                </c:pt>
                <c:pt idx="77">
                  <c:v>0.3019108280254777</c:v>
                </c:pt>
                <c:pt idx="78">
                  <c:v>0.29808917197452228</c:v>
                </c:pt>
                <c:pt idx="79">
                  <c:v>0.29503184713375796</c:v>
                </c:pt>
                <c:pt idx="80">
                  <c:v>0.29121019108280255</c:v>
                </c:pt>
                <c:pt idx="81">
                  <c:v>0.28815286624203817</c:v>
                </c:pt>
                <c:pt idx="82">
                  <c:v>0.28433121019108282</c:v>
                </c:pt>
                <c:pt idx="83">
                  <c:v>0.28127388535031844</c:v>
                </c:pt>
                <c:pt idx="84">
                  <c:v>0.27821656050955412</c:v>
                </c:pt>
                <c:pt idx="85">
                  <c:v>0.27439490445859871</c:v>
                </c:pt>
                <c:pt idx="86">
                  <c:v>0.27133757961783439</c:v>
                </c:pt>
                <c:pt idx="87">
                  <c:v>0.26828025477707007</c:v>
                </c:pt>
                <c:pt idx="88">
                  <c:v>0.2644585987261146</c:v>
                </c:pt>
                <c:pt idx="89">
                  <c:v>0.26140127388535034</c:v>
                </c:pt>
                <c:pt idx="90">
                  <c:v>0.25757961783439487</c:v>
                </c:pt>
                <c:pt idx="91">
                  <c:v>0.25452229299363061</c:v>
                </c:pt>
                <c:pt idx="92">
                  <c:v>0.25070063694267514</c:v>
                </c:pt>
                <c:pt idx="93">
                  <c:v>0.24764331210191079</c:v>
                </c:pt>
                <c:pt idx="94">
                  <c:v>0.2445859872611465</c:v>
                </c:pt>
                <c:pt idx="95">
                  <c:v>0.24152866242038218</c:v>
                </c:pt>
                <c:pt idx="96">
                  <c:v>0.23770700636942677</c:v>
                </c:pt>
                <c:pt idx="97">
                  <c:v>0.23464968152866239</c:v>
                </c:pt>
                <c:pt idx="98">
                  <c:v>0.23082802547770703</c:v>
                </c:pt>
                <c:pt idx="99">
                  <c:v>0.22777070063694266</c:v>
                </c:pt>
                <c:pt idx="100">
                  <c:v>0.22471337579617834</c:v>
                </c:pt>
                <c:pt idx="101">
                  <c:v>0.22089171974522293</c:v>
                </c:pt>
                <c:pt idx="102">
                  <c:v>0.21783439490445858</c:v>
                </c:pt>
                <c:pt idx="103">
                  <c:v>0.21477707006369426</c:v>
                </c:pt>
                <c:pt idx="104">
                  <c:v>0.21095541401273885</c:v>
                </c:pt>
                <c:pt idx="105">
                  <c:v>0.20789808917197453</c:v>
                </c:pt>
                <c:pt idx="106">
                  <c:v>0.20484076433121018</c:v>
                </c:pt>
                <c:pt idx="107">
                  <c:v>0.20101910828025477</c:v>
                </c:pt>
                <c:pt idx="108">
                  <c:v>0.19796178343949045</c:v>
                </c:pt>
                <c:pt idx="109">
                  <c:v>0.1949044585987261</c:v>
                </c:pt>
                <c:pt idx="110">
                  <c:v>0.19184713375796178</c:v>
                </c:pt>
                <c:pt idx="111">
                  <c:v>0.18802547770700637</c:v>
                </c:pt>
                <c:pt idx="112">
                  <c:v>0.18496815286624202</c:v>
                </c:pt>
                <c:pt idx="113">
                  <c:v>0.1819108280254777</c:v>
                </c:pt>
                <c:pt idx="114">
                  <c:v>0.17808917197452229</c:v>
                </c:pt>
                <c:pt idx="115">
                  <c:v>0.17503184713375797</c:v>
                </c:pt>
                <c:pt idx="116">
                  <c:v>0.17197452229299362</c:v>
                </c:pt>
                <c:pt idx="117">
                  <c:v>0.16815286624203821</c:v>
                </c:pt>
                <c:pt idx="118">
                  <c:v>0.16509554140127386</c:v>
                </c:pt>
                <c:pt idx="119">
                  <c:v>0.16203821656050954</c:v>
                </c:pt>
                <c:pt idx="120">
                  <c:v>0.15898089171974522</c:v>
                </c:pt>
                <c:pt idx="121">
                  <c:v>0.15515923566878981</c:v>
                </c:pt>
                <c:pt idx="122">
                  <c:v>0.15210191082802546</c:v>
                </c:pt>
                <c:pt idx="123">
                  <c:v>0.14904458598726114</c:v>
                </c:pt>
                <c:pt idx="124">
                  <c:v>0.14598726114649679</c:v>
                </c:pt>
                <c:pt idx="125">
                  <c:v>0.14292993630573247</c:v>
                </c:pt>
                <c:pt idx="126">
                  <c:v>0.13910828025477706</c:v>
                </c:pt>
                <c:pt idx="127">
                  <c:v>0.13605095541401274</c:v>
                </c:pt>
                <c:pt idx="128">
                  <c:v>0.13299363057324839</c:v>
                </c:pt>
                <c:pt idx="129">
                  <c:v>0.12993630573248408</c:v>
                </c:pt>
                <c:pt idx="130">
                  <c:v>0.12687898089171973</c:v>
                </c:pt>
                <c:pt idx="131">
                  <c:v>0.12305732484076433</c:v>
                </c:pt>
                <c:pt idx="132">
                  <c:v>0.12</c:v>
                </c:pt>
                <c:pt idx="133">
                  <c:v>0.11694267515923566</c:v>
                </c:pt>
                <c:pt idx="134">
                  <c:v>0.11388535031847133</c:v>
                </c:pt>
                <c:pt idx="135">
                  <c:v>0.110828025477707</c:v>
                </c:pt>
                <c:pt idx="136">
                  <c:v>0.10777070063694266</c:v>
                </c:pt>
                <c:pt idx="137">
                  <c:v>0.10471337579617833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DF-4DEC-B878-10AD92B3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0152"/>
        <c:axId val="7752200"/>
      </c:scatterChart>
      <c:valAx>
        <c:axId val="775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2200"/>
        <c:crosses val="autoZero"/>
        <c:crossBetween val="midCat"/>
      </c:valAx>
      <c:valAx>
        <c:axId val="775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14</xdr:row>
      <xdr:rowOff>114300</xdr:rowOff>
    </xdr:from>
    <xdr:to>
      <xdr:col>12</xdr:col>
      <xdr:colOff>342900</xdr:colOff>
      <xdr:row>29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D9C36CF-71B7-A0CD-7F04-972B2A4E142C}"/>
            </a:ext>
            <a:ext uri="{147F2762-F138-4A5C-976F-8EAC2B608ADB}">
              <a16:predDERef xmlns:a16="http://schemas.microsoft.com/office/drawing/2014/main" pred="{ABD56387-C4EC-2521-305F-AAE34BE77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14</xdr:row>
      <xdr:rowOff>76200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95715ED-8EAF-39B5-977F-77266B35A6D8}"/>
            </a:ext>
            <a:ext uri="{147F2762-F138-4A5C-976F-8EAC2B608ADB}">
              <a16:predDERef xmlns:a16="http://schemas.microsoft.com/office/drawing/2014/main" pred="{ED9C36CF-71B7-A0CD-7F04-972B2A4E1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47625</xdr:colOff>
      <xdr:row>14</xdr:row>
      <xdr:rowOff>57150</xdr:rowOff>
    </xdr:from>
    <xdr:to>
      <xdr:col>26</xdr:col>
      <xdr:colOff>352425</xdr:colOff>
      <xdr:row>28</xdr:row>
      <xdr:rowOff>133350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37A39266-E1E6-B05B-74D0-ECEC19F0FF73}"/>
            </a:ext>
            <a:ext uri="{147F2762-F138-4A5C-976F-8EAC2B608ADB}">
              <a16:predDERef xmlns:a16="http://schemas.microsoft.com/office/drawing/2014/main" pred="{E95715ED-8EAF-39B5-977F-77266B35A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0</xdr:row>
      <xdr:rowOff>0</xdr:rowOff>
    </xdr:from>
    <xdr:to>
      <xdr:col>12</xdr:col>
      <xdr:colOff>342900</xdr:colOff>
      <xdr:row>14</xdr:row>
      <xdr:rowOff>76200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6D3DD81E-2B8F-AA4D-5629-702F1DA14E92}"/>
            </a:ext>
            <a:ext uri="{147F2762-F138-4A5C-976F-8EAC2B608ADB}">
              <a16:predDERef xmlns:a16="http://schemas.microsoft.com/office/drawing/2014/main" pred="{37A39266-E1E6-B05B-74D0-ECEC19F0F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3"/>
  <sheetViews>
    <sheetView tabSelected="1" workbookViewId="0">
      <selection activeCell="A5" activeCellId="3" sqref="O6 O5 A6 A5"/>
    </sheetView>
  </sheetViews>
  <sheetFormatPr defaultRowHeight="15"/>
  <cols>
    <col min="1" max="1" width="27.5703125" customWidth="1"/>
    <col min="2" max="2" width="13.5703125" style="5" customWidth="1"/>
    <col min="3" max="3" width="16.85546875" style="2" customWidth="1"/>
    <col min="4" max="4" width="19.28515625" style="4" customWidth="1"/>
    <col min="15" max="15" width="32.7109375" customWidth="1"/>
    <col min="16" max="16" width="15.5703125" style="5" customWidth="1"/>
    <col min="17" max="17" width="15.28515625" style="2" customWidth="1"/>
    <col min="18" max="18" width="19.140625" style="4" customWidth="1"/>
  </cols>
  <sheetData>
    <row r="1" spans="1:19">
      <c r="A1" s="1" t="s">
        <v>0</v>
      </c>
      <c r="B1" s="5" t="s">
        <v>1</v>
      </c>
      <c r="C1" s="2" t="s">
        <v>2</v>
      </c>
      <c r="D1" s="4" t="s">
        <v>3</v>
      </c>
      <c r="O1" s="1" t="s">
        <v>4</v>
      </c>
      <c r="P1" s="5" t="s">
        <v>1</v>
      </c>
      <c r="Q1" s="2" t="s">
        <v>2</v>
      </c>
      <c r="R1" s="4" t="s">
        <v>3</v>
      </c>
    </row>
    <row r="2" spans="1:19">
      <c r="A2" s="7" t="s">
        <v>5</v>
      </c>
      <c r="C2" s="3">
        <v>0</v>
      </c>
      <c r="D2" s="4">
        <f>(0.24*E2)/314</f>
        <v>9.7070063694267517E-2</v>
      </c>
      <c r="E2">
        <v>127</v>
      </c>
      <c r="O2" s="7" t="s">
        <v>5</v>
      </c>
      <c r="Q2" s="2">
        <v>0</v>
      </c>
      <c r="R2" s="4">
        <f>(0.244*S2)/298</f>
        <v>0.10480536912751677</v>
      </c>
      <c r="S2">
        <v>128</v>
      </c>
    </row>
    <row r="3" spans="1:19">
      <c r="A3" s="7">
        <f>AVERAGE(B3:B64)</f>
        <v>3.8463118964454512</v>
      </c>
      <c r="B3" s="5">
        <f>(D3-D2)/(C3-C2)</f>
        <v>3.6687898089172202</v>
      </c>
      <c r="C3" s="2">
        <v>1.0416666666666599E-3</v>
      </c>
      <c r="D3" s="4">
        <f t="shared" ref="D3:D66" si="0">(0.24*E3)/314</f>
        <v>0.10089171974522293</v>
      </c>
      <c r="E3">
        <v>132</v>
      </c>
      <c r="O3" s="7">
        <f>AVERAGE(P3:P69)</f>
        <v>3.7894180106180531</v>
      </c>
      <c r="P3" s="5">
        <f>(R3-R2)/(Q3-Q2)</f>
        <v>3.9302013422819058</v>
      </c>
      <c r="Q3" s="2">
        <v>1.0416666666666599E-3</v>
      </c>
      <c r="R3" s="4">
        <f t="shared" ref="R3:R66" si="1">(0.244*S3)/298</f>
        <v>0.1088993288590604</v>
      </c>
      <c r="S3">
        <v>133</v>
      </c>
    </row>
    <row r="4" spans="1:19">
      <c r="B4" s="5">
        <f>(D4-D3)/(C4-C3)</f>
        <v>4.40254777070062</v>
      </c>
      <c r="C4" s="2">
        <v>2.0833333333333298E-3</v>
      </c>
      <c r="D4" s="4">
        <f t="shared" si="0"/>
        <v>0.10547770700636942</v>
      </c>
      <c r="E4">
        <v>138</v>
      </c>
      <c r="P4" s="5">
        <f>(R4-R3)/(Q4-Q3)</f>
        <v>3.930201342281868</v>
      </c>
      <c r="Q4" s="2">
        <v>2.0833333333333298E-3</v>
      </c>
      <c r="R4" s="4">
        <f t="shared" si="1"/>
        <v>0.11299328859060402</v>
      </c>
      <c r="S4">
        <v>138</v>
      </c>
    </row>
    <row r="5" spans="1:19">
      <c r="A5" s="8" t="s">
        <v>6</v>
      </c>
      <c r="B5" s="5">
        <f>(D5-D4)/(C5-C4)</f>
        <v>3.6687898089171838</v>
      </c>
      <c r="C5" s="2">
        <v>3.1250000000000002E-3</v>
      </c>
      <c r="D5" s="4">
        <f t="shared" si="0"/>
        <v>0.10929936305732484</v>
      </c>
      <c r="E5">
        <v>143</v>
      </c>
      <c r="O5" s="8" t="s">
        <v>6</v>
      </c>
      <c r="P5" s="5">
        <f>(R5-R4)/(Q5-Q4)</f>
        <v>3.1441610738254799</v>
      </c>
      <c r="Q5" s="2">
        <v>3.1250000000000002E-3</v>
      </c>
      <c r="R5" s="4">
        <f t="shared" si="1"/>
        <v>0.11626845637583891</v>
      </c>
      <c r="S5">
        <v>142</v>
      </c>
    </row>
    <row r="6" spans="1:19">
      <c r="A6" s="8">
        <f>AVERAGE(B66:B139)</f>
        <v>-3.1234291616457108</v>
      </c>
      <c r="B6" s="5">
        <f>(D6-D5)/(C6-C5)</f>
        <v>3.6687898089172086</v>
      </c>
      <c r="C6" s="2">
        <v>4.1666666666666597E-3</v>
      </c>
      <c r="D6" s="4">
        <f t="shared" si="0"/>
        <v>0.11312101910828024</v>
      </c>
      <c r="E6">
        <v>148</v>
      </c>
      <c r="O6" s="8">
        <f>AVERAGE(P70:P143)</f>
        <v>-3.3353600580445866</v>
      </c>
      <c r="P6" s="5">
        <f>(R6-R5)/(Q6-Q5)</f>
        <v>3.9302013422819342</v>
      </c>
      <c r="Q6" s="2">
        <v>4.1666666666666597E-3</v>
      </c>
      <c r="R6" s="4">
        <f t="shared" si="1"/>
        <v>0.12036241610738256</v>
      </c>
      <c r="S6">
        <v>147</v>
      </c>
    </row>
    <row r="7" spans="1:19">
      <c r="B7" s="5">
        <f>(D7-D6)/(C7-C6)</f>
        <v>3.6687898089171984</v>
      </c>
      <c r="C7" s="2">
        <v>5.2083333333333296E-3</v>
      </c>
      <c r="D7" s="4">
        <f t="shared" si="0"/>
        <v>0.11694267515923566</v>
      </c>
      <c r="E7">
        <v>153</v>
      </c>
      <c r="P7" s="5">
        <f>(R7-R6)/(Q7-Q6)</f>
        <v>3.9302013422818547</v>
      </c>
      <c r="Q7" s="2">
        <v>5.2083333333333296E-3</v>
      </c>
      <c r="R7" s="4">
        <f t="shared" si="1"/>
        <v>0.12445637583892617</v>
      </c>
      <c r="S7">
        <v>152</v>
      </c>
    </row>
    <row r="8" spans="1:19">
      <c r="A8" s="6" t="s">
        <v>7</v>
      </c>
      <c r="B8" s="5">
        <f>(D8-D7)/(C8-C7)</f>
        <v>3.6687898089171953</v>
      </c>
      <c r="C8" s="2">
        <v>6.2500000000000003E-3</v>
      </c>
      <c r="D8" s="4">
        <f t="shared" si="0"/>
        <v>0.12076433121019109</v>
      </c>
      <c r="E8">
        <v>158</v>
      </c>
      <c r="O8" s="6" t="s">
        <v>7</v>
      </c>
      <c r="P8" s="5">
        <f>(R8-R7)/(Q8-Q7)</f>
        <v>3.9302013422818649</v>
      </c>
      <c r="Q8" s="2">
        <v>6.2500000000000003E-3</v>
      </c>
      <c r="R8" s="4">
        <f t="shared" si="1"/>
        <v>0.1285503355704698</v>
      </c>
      <c r="S8">
        <v>157</v>
      </c>
    </row>
    <row r="9" spans="1:19">
      <c r="A9" s="6">
        <f>ABS(A6/A3)</f>
        <v>0.81205821205820861</v>
      </c>
      <c r="B9" s="5">
        <f>(D9-D8)/(C9-C8)</f>
        <v>3.6687898089172086</v>
      </c>
      <c r="C9" s="2">
        <v>7.2916666666666598E-3</v>
      </c>
      <c r="D9" s="4">
        <f t="shared" si="0"/>
        <v>0.12458598726114649</v>
      </c>
      <c r="E9">
        <v>163</v>
      </c>
      <c r="O9" s="6">
        <f>ABS(O6/O3)</f>
        <v>0.88017739101329451</v>
      </c>
      <c r="P9" s="5">
        <f>(R9-R8)/(Q9-Q8)</f>
        <v>3.9302013422818942</v>
      </c>
      <c r="Q9" s="2">
        <v>7.2916666666666598E-3</v>
      </c>
      <c r="R9" s="4">
        <f t="shared" si="1"/>
        <v>0.13264429530201341</v>
      </c>
      <c r="S9">
        <v>162</v>
      </c>
    </row>
    <row r="10" spans="1:19">
      <c r="B10" s="5">
        <f>(D10-D9)/(C10-C9)</f>
        <v>3.6687898089171984</v>
      </c>
      <c r="C10" s="2">
        <v>8.3333333333333297E-3</v>
      </c>
      <c r="D10" s="4">
        <f t="shared" si="0"/>
        <v>0.12840764331210192</v>
      </c>
      <c r="E10">
        <v>168</v>
      </c>
      <c r="P10" s="5">
        <f>(R10-R9)/(Q10-Q9)</f>
        <v>3.1441610738254946</v>
      </c>
      <c r="Q10" s="2">
        <v>8.3333333333333297E-3</v>
      </c>
      <c r="R10" s="4">
        <f t="shared" si="1"/>
        <v>0.13591946308724831</v>
      </c>
      <c r="S10">
        <v>166</v>
      </c>
    </row>
    <row r="11" spans="1:19">
      <c r="B11" s="5">
        <f>(D11-D10)/(C11-C10)</f>
        <v>3.6687898089171584</v>
      </c>
      <c r="C11" s="2">
        <v>9.3749999999999997E-3</v>
      </c>
      <c r="D11" s="4">
        <f t="shared" si="0"/>
        <v>0.1322292993630573</v>
      </c>
      <c r="E11">
        <v>173</v>
      </c>
      <c r="P11" s="5">
        <f>(R11-R10)/(Q11-Q10)</f>
        <v>3.9302013422818547</v>
      </c>
      <c r="Q11" s="2">
        <v>9.3749999999999997E-3</v>
      </c>
      <c r="R11" s="4">
        <f t="shared" si="1"/>
        <v>0.14001342281879192</v>
      </c>
      <c r="S11">
        <v>171</v>
      </c>
    </row>
    <row r="12" spans="1:19">
      <c r="B12" s="5">
        <f>(D12-D11)/(C12-C11)</f>
        <v>3.6687898089174564</v>
      </c>
      <c r="C12" s="2">
        <v>1.04166666666666E-2</v>
      </c>
      <c r="D12" s="4">
        <f t="shared" si="0"/>
        <v>0.13605095541401274</v>
      </c>
      <c r="E12">
        <v>178</v>
      </c>
      <c r="P12" s="5">
        <f>(R12-R11)/(Q12-Q11)</f>
        <v>3.93020134228217</v>
      </c>
      <c r="Q12" s="2">
        <v>1.04166666666666E-2</v>
      </c>
      <c r="R12" s="4">
        <f t="shared" si="1"/>
        <v>0.14410738255033559</v>
      </c>
      <c r="S12">
        <v>176</v>
      </c>
    </row>
    <row r="13" spans="1:19">
      <c r="B13" s="5">
        <f>(D13-D12)/(C13-C12)</f>
        <v>4.4025477707004814</v>
      </c>
      <c r="C13" s="2">
        <v>1.14583333333333E-2</v>
      </c>
      <c r="D13" s="4">
        <f t="shared" si="0"/>
        <v>0.14063694267515922</v>
      </c>
      <c r="E13">
        <v>184</v>
      </c>
      <c r="P13" s="5">
        <f>(R13-R12)/(Q13-Q12)</f>
        <v>3.9302013422817437</v>
      </c>
      <c r="Q13" s="2">
        <v>1.14583333333333E-2</v>
      </c>
      <c r="R13" s="4">
        <f t="shared" si="1"/>
        <v>0.1482013422818792</v>
      </c>
      <c r="S13">
        <v>181</v>
      </c>
    </row>
    <row r="14" spans="1:19">
      <c r="B14" s="5">
        <f>(D14-D13)/(C14-C13)</f>
        <v>3.6687898089170754</v>
      </c>
      <c r="C14" s="2">
        <v>1.2500000000000001E-2</v>
      </c>
      <c r="D14" s="4">
        <f t="shared" si="0"/>
        <v>0.14445859872611463</v>
      </c>
      <c r="E14">
        <v>189</v>
      </c>
      <c r="P14" s="5">
        <f>(R14-R13)/(Q14-Q13)</f>
        <v>3.1441610738254004</v>
      </c>
      <c r="Q14" s="2">
        <v>1.2500000000000001E-2</v>
      </c>
      <c r="R14" s="4">
        <f t="shared" si="1"/>
        <v>0.1514765100671141</v>
      </c>
      <c r="S14">
        <v>185</v>
      </c>
    </row>
    <row r="15" spans="1:19">
      <c r="B15" s="5">
        <f>(D15-D14)/(C15-C14)</f>
        <v>3.6687898089174356</v>
      </c>
      <c r="C15" s="2">
        <v>1.3541666666666599E-2</v>
      </c>
      <c r="D15" s="4">
        <f t="shared" si="0"/>
        <v>0.14828025477707005</v>
      </c>
      <c r="E15">
        <v>194</v>
      </c>
      <c r="P15" s="5">
        <f>(R15-R14)/(Q15-Q14)</f>
        <v>3.9302013422821234</v>
      </c>
      <c r="Q15" s="2">
        <v>1.3541666666666599E-2</v>
      </c>
      <c r="R15" s="4">
        <f t="shared" si="1"/>
        <v>0.15557046979865771</v>
      </c>
      <c r="S15">
        <v>190</v>
      </c>
    </row>
    <row r="16" spans="1:19">
      <c r="B16" s="5">
        <f>(D16-D15)/(C16-C15)</f>
        <v>3.6687898089170754</v>
      </c>
      <c r="C16" s="2">
        <v>1.4583333333333301E-2</v>
      </c>
      <c r="D16" s="4">
        <f t="shared" si="0"/>
        <v>0.15210191082802546</v>
      </c>
      <c r="E16">
        <v>199</v>
      </c>
      <c r="P16" s="5">
        <f>(R16-R15)/(Q16-Q15)</f>
        <v>3.930201342281737</v>
      </c>
      <c r="Q16" s="2">
        <v>1.4583333333333301E-2</v>
      </c>
      <c r="R16" s="4">
        <f t="shared" si="1"/>
        <v>0.15966442953020132</v>
      </c>
      <c r="S16">
        <v>195</v>
      </c>
    </row>
    <row r="17" spans="2:19">
      <c r="B17" s="5">
        <f>(D17-D16)/(C17-C16)</f>
        <v>3.6687898089171078</v>
      </c>
      <c r="C17" s="2">
        <v>1.5625E-2</v>
      </c>
      <c r="D17" s="4">
        <f t="shared" si="0"/>
        <v>0.1559235668789809</v>
      </c>
      <c r="E17">
        <v>204</v>
      </c>
      <c r="P17" s="5">
        <f>(R17-R16)/(Q17-Q16)</f>
        <v>3.9302013422817703</v>
      </c>
      <c r="Q17" s="2">
        <v>1.5625E-2</v>
      </c>
      <c r="R17" s="4">
        <f t="shared" si="1"/>
        <v>0.16375838926174496</v>
      </c>
      <c r="S17">
        <v>200</v>
      </c>
    </row>
    <row r="18" spans="2:19">
      <c r="B18" s="5">
        <f>(D18-D17)/(C18-C17)</f>
        <v>4.4025477707008998</v>
      </c>
      <c r="C18" s="2">
        <v>1.6666666666666601E-2</v>
      </c>
      <c r="D18" s="4">
        <f t="shared" si="0"/>
        <v>0.16050955414012738</v>
      </c>
      <c r="E18">
        <v>210</v>
      </c>
      <c r="P18" s="5">
        <f>(R18-R17)/(Q18-Q17)</f>
        <v>3.9302013422821167</v>
      </c>
      <c r="Q18" s="2">
        <v>1.6666666666666601E-2</v>
      </c>
      <c r="R18" s="4">
        <f t="shared" si="1"/>
        <v>0.16785234899328857</v>
      </c>
      <c r="S18">
        <v>205</v>
      </c>
    </row>
    <row r="19" spans="2:19">
      <c r="B19" s="5">
        <f>(D19-D18)/(C19-C18)</f>
        <v>3.6687898089170754</v>
      </c>
      <c r="C19" s="2">
        <v>1.7708333333333302E-2</v>
      </c>
      <c r="D19" s="4">
        <f t="shared" si="0"/>
        <v>0.16433121019108279</v>
      </c>
      <c r="E19">
        <v>215</v>
      </c>
      <c r="P19" s="5">
        <f>(R19-R18)/(Q19-Q18)</f>
        <v>3.9302013422817637</v>
      </c>
      <c r="Q19" s="2">
        <v>1.7708333333333302E-2</v>
      </c>
      <c r="R19" s="4">
        <f t="shared" si="1"/>
        <v>0.17194630872483221</v>
      </c>
      <c r="S19">
        <v>210</v>
      </c>
    </row>
    <row r="20" spans="2:19">
      <c r="B20" s="5">
        <f>(D20-D19)/(C20-C19)</f>
        <v>3.6687898089170874</v>
      </c>
      <c r="C20" s="2">
        <v>1.8749999999999999E-2</v>
      </c>
      <c r="D20" s="4">
        <f t="shared" si="0"/>
        <v>0.16815286624203821</v>
      </c>
      <c r="E20">
        <v>220</v>
      </c>
      <c r="P20" s="5">
        <f>(R20-R19)/(Q20-Q19)</f>
        <v>3.1441610738254107</v>
      </c>
      <c r="Q20" s="2">
        <v>1.8749999999999999E-2</v>
      </c>
      <c r="R20" s="4">
        <f t="shared" si="1"/>
        <v>0.17522147651006711</v>
      </c>
      <c r="S20">
        <v>214</v>
      </c>
    </row>
    <row r="21" spans="2:19">
      <c r="B21" s="5">
        <f>(D21-D20)/(C21-C20)</f>
        <v>3.6687898089174298</v>
      </c>
      <c r="C21" s="2">
        <v>1.97916666666666E-2</v>
      </c>
      <c r="D21" s="4">
        <f t="shared" si="0"/>
        <v>0.17197452229299362</v>
      </c>
      <c r="E21">
        <v>225</v>
      </c>
      <c r="P21" s="5">
        <f>(R21-R20)/(Q21-Q20)</f>
        <v>3.9302013422821167</v>
      </c>
      <c r="Q21" s="2">
        <v>1.97916666666666E-2</v>
      </c>
      <c r="R21" s="4">
        <f t="shared" si="1"/>
        <v>0.17931543624161073</v>
      </c>
      <c r="S21">
        <v>219</v>
      </c>
    </row>
    <row r="22" spans="2:19">
      <c r="B22" s="5">
        <f>(D22-D21)/(C22-C21)</f>
        <v>4.402547770700501</v>
      </c>
      <c r="C22" s="2">
        <v>2.0833333333333301E-2</v>
      </c>
      <c r="D22" s="4">
        <f t="shared" si="0"/>
        <v>0.17656050955414013</v>
      </c>
      <c r="E22">
        <v>231</v>
      </c>
      <c r="P22" s="5">
        <f>(R22-R21)/(Q22-Q21)</f>
        <v>3.9302013422817637</v>
      </c>
      <c r="Q22" s="2">
        <v>2.0833333333333301E-2</v>
      </c>
      <c r="R22" s="4">
        <f t="shared" si="1"/>
        <v>0.18340939597315437</v>
      </c>
      <c r="S22">
        <v>224</v>
      </c>
    </row>
    <row r="23" spans="2:19">
      <c r="B23" s="5">
        <f>(D23-D22)/(C23-C22)</f>
        <v>3.6687898089170874</v>
      </c>
      <c r="C23" s="2">
        <v>2.1874999999999999E-2</v>
      </c>
      <c r="D23" s="4">
        <f t="shared" si="0"/>
        <v>0.18038216560509554</v>
      </c>
      <c r="E23">
        <v>236</v>
      </c>
      <c r="P23" s="5">
        <f>(R23-R22)/(Q23-Q22)</f>
        <v>3.9302013422817503</v>
      </c>
      <c r="Q23" s="2">
        <v>2.1874999999999999E-2</v>
      </c>
      <c r="R23" s="4">
        <f t="shared" si="1"/>
        <v>0.18750335570469798</v>
      </c>
      <c r="S23">
        <v>229</v>
      </c>
    </row>
    <row r="24" spans="2:19">
      <c r="B24" s="5">
        <f>(D24-D23)/(C24-C23)</f>
        <v>3.6687898089174298</v>
      </c>
      <c r="C24" s="2">
        <v>2.2916666666666599E-2</v>
      </c>
      <c r="D24" s="4">
        <f t="shared" si="0"/>
        <v>0.18420382165605095</v>
      </c>
      <c r="E24">
        <v>241</v>
      </c>
      <c r="P24" s="5">
        <f>(R24-R23)/(Q24-Q23)</f>
        <v>3.9302013422821167</v>
      </c>
      <c r="Q24" s="2">
        <v>2.2916666666666599E-2</v>
      </c>
      <c r="R24" s="4">
        <f t="shared" si="1"/>
        <v>0.19159731543624159</v>
      </c>
      <c r="S24">
        <v>234</v>
      </c>
    </row>
    <row r="25" spans="2:19">
      <c r="B25" s="5">
        <f>(D25-D24)/(C25-C24)</f>
        <v>4.402547770700501</v>
      </c>
      <c r="C25" s="2">
        <v>2.39583333333333E-2</v>
      </c>
      <c r="D25" s="4">
        <f t="shared" si="0"/>
        <v>0.18878980891719746</v>
      </c>
      <c r="E25">
        <v>247</v>
      </c>
      <c r="P25" s="5">
        <f>(R25-R24)/(Q25-Q24)</f>
        <v>3.9302013422817637</v>
      </c>
      <c r="Q25" s="2">
        <v>2.39583333333333E-2</v>
      </c>
      <c r="R25" s="4">
        <f t="shared" si="1"/>
        <v>0.19569127516778523</v>
      </c>
      <c r="S25">
        <v>239</v>
      </c>
    </row>
    <row r="26" spans="2:19">
      <c r="B26" s="5">
        <f>(D26-D25)/(C26-C25)</f>
        <v>3.6687898089170488</v>
      </c>
      <c r="C26" s="2">
        <v>2.5000000000000001E-2</v>
      </c>
      <c r="D26" s="4">
        <f t="shared" si="0"/>
        <v>0.19261146496815285</v>
      </c>
      <c r="E26">
        <v>252</v>
      </c>
      <c r="P26" s="5">
        <f>(R26-R25)/(Q26-Q25)</f>
        <v>3.9302013422817637</v>
      </c>
      <c r="Q26" s="2">
        <v>2.5000000000000001E-2</v>
      </c>
      <c r="R26" s="4">
        <f t="shared" si="1"/>
        <v>0.19978523489932887</v>
      </c>
      <c r="S26">
        <v>244</v>
      </c>
    </row>
    <row r="27" spans="2:19">
      <c r="B27" s="5">
        <f>(D27-D26)/(C27-C26)</f>
        <v>3.6687898089174684</v>
      </c>
      <c r="C27" s="2">
        <v>2.6041666666666598E-2</v>
      </c>
      <c r="D27" s="4">
        <f t="shared" si="0"/>
        <v>0.19643312101910829</v>
      </c>
      <c r="E27">
        <v>257</v>
      </c>
      <c r="P27" s="5">
        <f>(R27-R26)/(Q27-Q26)</f>
        <v>3.9302013422821296</v>
      </c>
      <c r="Q27" s="2">
        <v>2.6041666666666598E-2</v>
      </c>
      <c r="R27" s="4">
        <f t="shared" si="1"/>
        <v>0.20387919463087248</v>
      </c>
      <c r="S27">
        <v>249</v>
      </c>
    </row>
    <row r="28" spans="2:19">
      <c r="B28" s="5">
        <f>(D28-D27)/(C28-C27)</f>
        <v>3.6687898089170488</v>
      </c>
      <c r="C28" s="2">
        <v>2.70833333333333E-2</v>
      </c>
      <c r="D28" s="4">
        <f t="shared" si="0"/>
        <v>0.20025477707006367</v>
      </c>
      <c r="E28">
        <v>262</v>
      </c>
      <c r="P28" s="5">
        <f>(R28-R27)/(Q28-Q27)</f>
        <v>3.1441610738254004</v>
      </c>
      <c r="Q28" s="2">
        <v>2.70833333333333E-2</v>
      </c>
      <c r="R28" s="4">
        <f t="shared" si="1"/>
        <v>0.20715436241610738</v>
      </c>
      <c r="S28">
        <v>253</v>
      </c>
    </row>
    <row r="29" spans="2:19">
      <c r="B29" s="5">
        <f>(D29-D28)/(C29-C28)</f>
        <v>4.402547770700501</v>
      </c>
      <c r="C29" s="2">
        <v>2.8125000000000001E-2</v>
      </c>
      <c r="D29" s="4">
        <f t="shared" si="0"/>
        <v>0.20484076433121018</v>
      </c>
      <c r="E29">
        <v>268</v>
      </c>
      <c r="P29" s="5">
        <f>(R29-R28)/(Q29-Q28)</f>
        <v>3.930201342281737</v>
      </c>
      <c r="Q29" s="2">
        <v>2.8125000000000001E-2</v>
      </c>
      <c r="R29" s="4">
        <f t="shared" si="1"/>
        <v>0.21124832214765099</v>
      </c>
      <c r="S29">
        <v>258</v>
      </c>
    </row>
    <row r="30" spans="2:19">
      <c r="B30" s="5">
        <f>(D30-D29)/(C30-C29)</f>
        <v>3.6687898089174298</v>
      </c>
      <c r="C30" s="2">
        <v>2.9166666666666601E-2</v>
      </c>
      <c r="D30" s="4">
        <f t="shared" si="0"/>
        <v>0.20866242038216559</v>
      </c>
      <c r="E30">
        <v>273</v>
      </c>
      <c r="P30" s="5">
        <f>(R30-R29)/(Q30-Q29)</f>
        <v>3.9302013422821434</v>
      </c>
      <c r="Q30" s="2">
        <v>2.9166666666666601E-2</v>
      </c>
      <c r="R30" s="4">
        <f t="shared" si="1"/>
        <v>0.21534228187919463</v>
      </c>
      <c r="S30">
        <v>263</v>
      </c>
    </row>
    <row r="31" spans="2:19">
      <c r="B31" s="5">
        <f>(D31-D30)/(C31-C30)</f>
        <v>4.4025477707004894</v>
      </c>
      <c r="C31" s="2">
        <v>3.0208333333333299E-2</v>
      </c>
      <c r="D31" s="4">
        <f t="shared" si="0"/>
        <v>0.21324840764331207</v>
      </c>
      <c r="E31">
        <v>279</v>
      </c>
      <c r="P31" s="5">
        <f>(R31-R30)/(Q31-Q30)</f>
        <v>3.9302013422817503</v>
      </c>
      <c r="Q31" s="2">
        <v>3.0208333333333299E-2</v>
      </c>
      <c r="R31" s="4">
        <f t="shared" si="1"/>
        <v>0.21943624161073824</v>
      </c>
      <c r="S31">
        <v>268</v>
      </c>
    </row>
    <row r="32" spans="2:19">
      <c r="B32" s="5">
        <f>(D32-D31)/(C32-C31)</f>
        <v>3.668789808917102</v>
      </c>
      <c r="C32" s="2">
        <v>3.125E-2</v>
      </c>
      <c r="D32" s="4">
        <f t="shared" si="0"/>
        <v>0.21707006369426751</v>
      </c>
      <c r="E32">
        <v>284</v>
      </c>
      <c r="P32" s="5">
        <f>(R32-R31)/(Q32-Q31)</f>
        <v>3.930201342281737</v>
      </c>
      <c r="Q32" s="2">
        <v>3.125E-2</v>
      </c>
      <c r="R32" s="4">
        <f t="shared" si="1"/>
        <v>0.22353020134228185</v>
      </c>
      <c r="S32">
        <v>273</v>
      </c>
    </row>
    <row r="33" spans="2:19">
      <c r="B33" s="5">
        <f>(D33-D32)/(C33-C32)</f>
        <v>4.4025477707008998</v>
      </c>
      <c r="C33" s="2">
        <v>3.2291666666666601E-2</v>
      </c>
      <c r="D33" s="4">
        <f t="shared" si="0"/>
        <v>0.22165605095541399</v>
      </c>
      <c r="E33">
        <v>290</v>
      </c>
      <c r="P33" s="5">
        <f>(R33-R32)/(Q33-Q32)</f>
        <v>3.9302013422821434</v>
      </c>
      <c r="Q33" s="2">
        <v>3.2291666666666601E-2</v>
      </c>
      <c r="R33" s="4">
        <f t="shared" si="1"/>
        <v>0.22762416107382549</v>
      </c>
      <c r="S33">
        <v>278</v>
      </c>
    </row>
    <row r="34" spans="2:19">
      <c r="B34" s="5">
        <f>(D34-D33)/(C34-C33)</f>
        <v>3.6687898089170874</v>
      </c>
      <c r="C34" s="2">
        <v>3.3333333333333298E-2</v>
      </c>
      <c r="D34" s="4">
        <f t="shared" si="0"/>
        <v>0.2254777070063694</v>
      </c>
      <c r="E34">
        <v>295</v>
      </c>
      <c r="P34" s="5">
        <f>(R34-R33)/(Q34-Q33)</f>
        <v>3.9302013422817503</v>
      </c>
      <c r="Q34" s="2">
        <v>3.3333333333333298E-2</v>
      </c>
      <c r="R34" s="4">
        <f t="shared" si="1"/>
        <v>0.2317181208053691</v>
      </c>
      <c r="S34">
        <v>283</v>
      </c>
    </row>
    <row r="35" spans="2:19">
      <c r="B35" s="5">
        <f>(D35-D34)/(C35-C34)</f>
        <v>3.6687898089170896</v>
      </c>
      <c r="C35" s="2">
        <v>3.4375000000000003E-2</v>
      </c>
      <c r="D35" s="4">
        <f t="shared" si="0"/>
        <v>0.22929936305732485</v>
      </c>
      <c r="E35">
        <v>300</v>
      </c>
      <c r="P35" s="5">
        <f>(R35-R34)/(Q35-Q34)</f>
        <v>3.9302013422817241</v>
      </c>
      <c r="Q35" s="2">
        <v>3.4375000000000003E-2</v>
      </c>
      <c r="R35" s="4">
        <f t="shared" si="1"/>
        <v>0.23581208053691272</v>
      </c>
      <c r="S35">
        <v>288</v>
      </c>
    </row>
    <row r="36" spans="2:19">
      <c r="B36" s="5">
        <f>(D36-D35)/(C36-C35)</f>
        <v>4.4025477707008998</v>
      </c>
      <c r="C36" s="2">
        <v>3.5416666666666603E-2</v>
      </c>
      <c r="D36" s="4">
        <f t="shared" si="0"/>
        <v>0.23388535031847132</v>
      </c>
      <c r="E36">
        <v>306</v>
      </c>
      <c r="P36" s="5">
        <f>(R36-R35)/(Q36-Q35)</f>
        <v>3.93020134228217</v>
      </c>
      <c r="Q36" s="2">
        <v>3.5416666666666603E-2</v>
      </c>
      <c r="R36" s="4">
        <f t="shared" si="1"/>
        <v>0.23990604026845638</v>
      </c>
      <c r="S36">
        <v>293</v>
      </c>
    </row>
    <row r="37" spans="2:19">
      <c r="B37" s="5">
        <f>(D37-D36)/(C37-C36)</f>
        <v>4.4025477707005161</v>
      </c>
      <c r="C37" s="2">
        <v>3.6458333333333301E-2</v>
      </c>
      <c r="D37" s="4">
        <f t="shared" si="0"/>
        <v>0.23847133757961783</v>
      </c>
      <c r="E37">
        <v>312</v>
      </c>
      <c r="P37" s="5">
        <f>(R37-R36)/(Q37-Q36)</f>
        <v>3.930201342281777</v>
      </c>
      <c r="Q37" s="2">
        <v>3.6458333333333301E-2</v>
      </c>
      <c r="R37" s="4">
        <f t="shared" si="1"/>
        <v>0.24400000000000002</v>
      </c>
      <c r="S37">
        <v>298</v>
      </c>
    </row>
    <row r="38" spans="2:19">
      <c r="B38" s="5">
        <f>(D38-D37)/(C38-C37)</f>
        <v>3.6687898089170874</v>
      </c>
      <c r="C38" s="2">
        <v>3.7499999999999999E-2</v>
      </c>
      <c r="D38" s="4">
        <f t="shared" si="0"/>
        <v>0.24229299363057324</v>
      </c>
      <c r="E38">
        <v>317</v>
      </c>
      <c r="P38" s="5">
        <f>(R38-R37)/(Q38-Q37)</f>
        <v>3.9302013422817503</v>
      </c>
      <c r="Q38" s="2">
        <v>3.7499999999999999E-2</v>
      </c>
      <c r="R38" s="4">
        <f t="shared" si="1"/>
        <v>0.24809395973154363</v>
      </c>
      <c r="S38">
        <v>303</v>
      </c>
    </row>
    <row r="39" spans="2:19">
      <c r="B39" s="5">
        <f>(D39-D38)/(C39-C38)</f>
        <v>3.6687898089174298</v>
      </c>
      <c r="C39" s="2">
        <v>3.8541666666666599E-2</v>
      </c>
      <c r="D39" s="4">
        <f t="shared" si="0"/>
        <v>0.24611464968152866</v>
      </c>
      <c r="E39">
        <v>322</v>
      </c>
      <c r="P39" s="5">
        <f>(R39-R38)/(Q39-Q38)</f>
        <v>3.9302013422821434</v>
      </c>
      <c r="Q39" s="2">
        <v>3.8541666666666599E-2</v>
      </c>
      <c r="R39" s="4">
        <f t="shared" si="1"/>
        <v>0.25218791946308727</v>
      </c>
      <c r="S39">
        <v>308</v>
      </c>
    </row>
    <row r="40" spans="2:19">
      <c r="B40" s="5">
        <f>(D40-D39)/(C40-C39)</f>
        <v>3.668789808917114</v>
      </c>
      <c r="C40" s="2">
        <v>3.9583333333333297E-2</v>
      </c>
      <c r="D40" s="4">
        <f t="shared" si="0"/>
        <v>0.2499363057324841</v>
      </c>
      <c r="E40">
        <v>327</v>
      </c>
      <c r="P40" s="5">
        <f>(R40-R39)/(Q40-Q39)</f>
        <v>3.9302013422817237</v>
      </c>
      <c r="Q40" s="2">
        <v>3.9583333333333297E-2</v>
      </c>
      <c r="R40" s="4">
        <f t="shared" si="1"/>
        <v>0.25628187919463086</v>
      </c>
      <c r="S40">
        <v>313</v>
      </c>
    </row>
    <row r="41" spans="2:19">
      <c r="B41" s="5">
        <f>(D41-D40)/(C41-C40)</f>
        <v>4.4025477707004859</v>
      </c>
      <c r="C41" s="2">
        <v>4.0625000000000001E-2</v>
      </c>
      <c r="D41" s="4">
        <f t="shared" si="0"/>
        <v>0.25452229299363061</v>
      </c>
      <c r="E41">
        <v>333</v>
      </c>
      <c r="P41" s="5">
        <f>(R41-R40)/(Q41-Q40)</f>
        <v>3.9302013422817508</v>
      </c>
      <c r="Q41" s="2">
        <v>4.0625000000000001E-2</v>
      </c>
      <c r="R41" s="4">
        <f t="shared" si="1"/>
        <v>0.2603758389261745</v>
      </c>
      <c r="S41">
        <v>318</v>
      </c>
    </row>
    <row r="42" spans="2:19">
      <c r="B42" s="5">
        <f>(D42-D41)/(C42-C41)</f>
        <v>3.6687898089173765</v>
      </c>
      <c r="C42" s="2">
        <v>4.1666666666666602E-2</v>
      </c>
      <c r="D42" s="4">
        <f t="shared" si="0"/>
        <v>0.25834394904458596</v>
      </c>
      <c r="E42">
        <v>338</v>
      </c>
      <c r="P42" s="5">
        <f>(R42-R41)/(Q42-Q41)</f>
        <v>3.9302013422821434</v>
      </c>
      <c r="Q42" s="2">
        <v>4.1666666666666602E-2</v>
      </c>
      <c r="R42" s="4">
        <f t="shared" si="1"/>
        <v>0.26446979865771814</v>
      </c>
      <c r="S42">
        <v>323</v>
      </c>
    </row>
    <row r="43" spans="2:19">
      <c r="B43" s="5">
        <f>(D43-D42)/(C43-C42)</f>
        <v>4.4025477707005161</v>
      </c>
      <c r="C43" s="2">
        <v>4.27083333333333E-2</v>
      </c>
      <c r="D43" s="4">
        <f t="shared" si="0"/>
        <v>0.26292993630573247</v>
      </c>
      <c r="E43">
        <v>344</v>
      </c>
      <c r="P43" s="5">
        <f>(R43-R42)/(Q43-Q42)</f>
        <v>3.9302013422817237</v>
      </c>
      <c r="Q43" s="2">
        <v>4.27083333333333E-2</v>
      </c>
      <c r="R43" s="4">
        <f t="shared" si="1"/>
        <v>0.26856375838926172</v>
      </c>
      <c r="S43">
        <v>328</v>
      </c>
    </row>
    <row r="44" spans="2:19">
      <c r="B44" s="5">
        <f>(D44-D43)/(C44-C43)</f>
        <v>3.6687898089170874</v>
      </c>
      <c r="C44" s="2">
        <v>4.3749999999999997E-2</v>
      </c>
      <c r="D44" s="4">
        <f t="shared" si="0"/>
        <v>0.26675159235668788</v>
      </c>
      <c r="E44">
        <v>349</v>
      </c>
      <c r="P44" s="5">
        <f>(R44-R43)/(Q44-Q43)</f>
        <v>3.930201342281777</v>
      </c>
      <c r="Q44" s="2">
        <v>4.3749999999999997E-2</v>
      </c>
      <c r="R44" s="4">
        <f t="shared" si="1"/>
        <v>0.27265771812080536</v>
      </c>
      <c r="S44">
        <v>333</v>
      </c>
    </row>
    <row r="45" spans="2:19">
      <c r="B45" s="5">
        <f>(D45-D44)/(C45-C44)</f>
        <v>3.6687898089174298</v>
      </c>
      <c r="C45" s="2">
        <v>4.4791666666666598E-2</v>
      </c>
      <c r="D45" s="4">
        <f t="shared" si="0"/>
        <v>0.2705732484076433</v>
      </c>
      <c r="E45">
        <v>354</v>
      </c>
      <c r="P45" s="5">
        <f>(R45-R44)/(Q45-Q44)</f>
        <v>3.9302013422821434</v>
      </c>
      <c r="Q45" s="2">
        <v>4.4791666666666598E-2</v>
      </c>
      <c r="R45" s="4">
        <f t="shared" si="1"/>
        <v>0.276751677852349</v>
      </c>
      <c r="S45">
        <v>338</v>
      </c>
    </row>
    <row r="46" spans="2:19">
      <c r="B46" s="5">
        <f>(D46-D45)/(C46-C45)</f>
        <v>4.4025477707004859</v>
      </c>
      <c r="C46" s="2">
        <v>4.5833333333333302E-2</v>
      </c>
      <c r="D46" s="4">
        <f t="shared" si="0"/>
        <v>0.2751592356687898</v>
      </c>
      <c r="E46">
        <v>360</v>
      </c>
      <c r="P46" s="5">
        <f>(R46-R45)/(Q46-Q45)</f>
        <v>3.9302013422816975</v>
      </c>
      <c r="Q46" s="2">
        <v>4.5833333333333302E-2</v>
      </c>
      <c r="R46" s="4">
        <f t="shared" si="1"/>
        <v>0.28084563758389258</v>
      </c>
      <c r="S46">
        <v>343</v>
      </c>
    </row>
    <row r="47" spans="2:19">
      <c r="B47" s="5">
        <f>(D47-D46)/(C47-C46)</f>
        <v>4.4025477707005161</v>
      </c>
      <c r="C47" s="2">
        <v>4.6875E-2</v>
      </c>
      <c r="D47" s="4">
        <f t="shared" si="0"/>
        <v>0.27974522292993631</v>
      </c>
      <c r="E47">
        <v>366</v>
      </c>
      <c r="P47" s="5">
        <f>(R47-R46)/(Q47-Q46)</f>
        <v>3.930201342281777</v>
      </c>
      <c r="Q47" s="2">
        <v>4.6875E-2</v>
      </c>
      <c r="R47" s="4">
        <f t="shared" si="1"/>
        <v>0.28493959731543622</v>
      </c>
      <c r="S47">
        <v>348</v>
      </c>
    </row>
    <row r="48" spans="2:19">
      <c r="B48" s="5">
        <f>(D48-D47)/(C48-C47)</f>
        <v>3.6687898089173765</v>
      </c>
      <c r="C48" s="2">
        <v>4.7916666666666601E-2</v>
      </c>
      <c r="D48" s="4">
        <f t="shared" si="0"/>
        <v>0.28356687898089167</v>
      </c>
      <c r="E48">
        <v>371</v>
      </c>
      <c r="P48" s="5">
        <f>(R48-R47)/(Q48-Q47)</f>
        <v>3.9302013422821434</v>
      </c>
      <c r="Q48" s="2">
        <v>4.7916666666666601E-2</v>
      </c>
      <c r="R48" s="4">
        <f t="shared" si="1"/>
        <v>0.28903355704697986</v>
      </c>
      <c r="S48">
        <v>353</v>
      </c>
    </row>
    <row r="49" spans="2:19">
      <c r="B49" s="5">
        <f>(D49-D48)/(C49-C48)</f>
        <v>3.6687898089171407</v>
      </c>
      <c r="C49" s="2">
        <v>4.8958333333333298E-2</v>
      </c>
      <c r="D49" s="4">
        <f t="shared" si="0"/>
        <v>0.28738853503184714</v>
      </c>
      <c r="E49">
        <v>376</v>
      </c>
      <c r="P49" s="5">
        <f>(R49-R48)/(Q49-Q48)</f>
        <v>3.930201342281777</v>
      </c>
      <c r="Q49" s="2">
        <v>4.8958333333333298E-2</v>
      </c>
      <c r="R49" s="4">
        <f t="shared" si="1"/>
        <v>0.2931275167785235</v>
      </c>
      <c r="S49">
        <v>358</v>
      </c>
    </row>
    <row r="50" spans="2:19">
      <c r="B50" s="5">
        <f>(D50-D49)/(C50-C49)</f>
        <v>4.4025477707004326</v>
      </c>
      <c r="C50" s="2">
        <v>0.05</v>
      </c>
      <c r="D50" s="4">
        <f t="shared" si="0"/>
        <v>0.29197452229299359</v>
      </c>
      <c r="E50">
        <v>382</v>
      </c>
      <c r="P50" s="5">
        <f>(R50-R49)/(Q50-Q49)</f>
        <v>3.9302013422817508</v>
      </c>
      <c r="Q50" s="2">
        <v>0.05</v>
      </c>
      <c r="R50" s="4">
        <f t="shared" si="1"/>
        <v>0.29722147651006714</v>
      </c>
      <c r="S50">
        <v>363</v>
      </c>
    </row>
    <row r="51" spans="2:19">
      <c r="B51" s="5">
        <f>(D51-D50)/(C51-C50)</f>
        <v>4.4025477707009264</v>
      </c>
      <c r="C51" s="2">
        <v>5.1041666666666603E-2</v>
      </c>
      <c r="D51" s="4">
        <f t="shared" si="0"/>
        <v>0.29656050955414009</v>
      </c>
      <c r="E51">
        <v>388</v>
      </c>
      <c r="P51" s="5">
        <f>(R51-R50)/(Q51-Q50)</f>
        <v>3.9302013422820901</v>
      </c>
      <c r="Q51" s="2">
        <v>5.1041666666666603E-2</v>
      </c>
      <c r="R51" s="4">
        <f t="shared" si="1"/>
        <v>0.30131543624161072</v>
      </c>
      <c r="S51">
        <v>368</v>
      </c>
    </row>
    <row r="52" spans="2:19">
      <c r="B52" s="5">
        <f>(D52-D51)/(C52-C51)</f>
        <v>3.6687898089170874</v>
      </c>
      <c r="C52" s="2">
        <v>5.2083333333333301E-2</v>
      </c>
      <c r="D52" s="4">
        <f t="shared" si="0"/>
        <v>0.30038216560509551</v>
      </c>
      <c r="E52">
        <v>393</v>
      </c>
      <c r="P52" s="5">
        <f>(R52-R51)/(Q52-Q51)</f>
        <v>3.930201342281777</v>
      </c>
      <c r="Q52" s="2">
        <v>5.2083333333333301E-2</v>
      </c>
      <c r="R52" s="4">
        <f t="shared" si="1"/>
        <v>0.30540939597315436</v>
      </c>
      <c r="S52">
        <v>373</v>
      </c>
    </row>
    <row r="53" spans="2:19">
      <c r="B53" s="5">
        <f>(D53-D52)/(C53-C52)</f>
        <v>3.6687898089170874</v>
      </c>
      <c r="C53" s="2">
        <v>5.3124999999999999E-2</v>
      </c>
      <c r="D53" s="4">
        <f t="shared" si="0"/>
        <v>0.30420382165605092</v>
      </c>
      <c r="E53">
        <v>398</v>
      </c>
      <c r="P53" s="5">
        <f>(R53-R52)/(Q53-Q52)</f>
        <v>3.930201342281777</v>
      </c>
      <c r="Q53" s="2">
        <v>5.3124999999999999E-2</v>
      </c>
      <c r="R53" s="4">
        <f t="shared" si="1"/>
        <v>0.309503355704698</v>
      </c>
      <c r="S53">
        <v>378</v>
      </c>
    </row>
    <row r="54" spans="2:19">
      <c r="B54" s="5">
        <f>(D54-D53)/(C54-C53)</f>
        <v>4.4025477707009264</v>
      </c>
      <c r="C54" s="2">
        <v>5.4166666666666599E-2</v>
      </c>
      <c r="D54" s="4">
        <f t="shared" si="0"/>
        <v>0.30878980891719743</v>
      </c>
      <c r="E54">
        <v>404</v>
      </c>
      <c r="P54" s="5">
        <f>(R54-R53)/(Q54-Q53)</f>
        <v>3.9302013422820901</v>
      </c>
      <c r="Q54" s="2">
        <v>5.4166666666666599E-2</v>
      </c>
      <c r="R54" s="4">
        <f t="shared" si="1"/>
        <v>0.31359731543624159</v>
      </c>
      <c r="S54">
        <v>383</v>
      </c>
    </row>
    <row r="55" spans="2:19">
      <c r="B55" s="5">
        <f>(D55-D54)/(C55-C54)</f>
        <v>4.4025477707005161</v>
      </c>
      <c r="C55" s="2">
        <v>5.5208333333333297E-2</v>
      </c>
      <c r="D55" s="4">
        <f t="shared" si="0"/>
        <v>0.31337579617834393</v>
      </c>
      <c r="E55">
        <v>410</v>
      </c>
      <c r="P55" s="5">
        <f>(R55-R54)/(Q55-Q54)</f>
        <v>3.930201342281777</v>
      </c>
      <c r="Q55" s="2">
        <v>5.5208333333333297E-2</v>
      </c>
      <c r="R55" s="4">
        <f t="shared" si="1"/>
        <v>0.31769127516778523</v>
      </c>
      <c r="S55">
        <v>388</v>
      </c>
    </row>
    <row r="56" spans="2:19">
      <c r="B56" s="5">
        <f>(D56-D55)/(C56-C55)</f>
        <v>3.668789808917063</v>
      </c>
      <c r="C56" s="2">
        <v>5.6250000000000001E-2</v>
      </c>
      <c r="D56" s="4">
        <f t="shared" si="0"/>
        <v>0.31719745222929935</v>
      </c>
      <c r="E56">
        <v>415</v>
      </c>
      <c r="P56" s="5">
        <f>(R56-R55)/(Q56-Q55)</f>
        <v>3.9302013422817508</v>
      </c>
      <c r="Q56" s="2">
        <v>5.6250000000000001E-2</v>
      </c>
      <c r="R56" s="4">
        <f t="shared" si="1"/>
        <v>0.32178523489932886</v>
      </c>
      <c r="S56">
        <v>393</v>
      </c>
    </row>
    <row r="57" spans="2:19">
      <c r="B57" s="5">
        <f>(D57-D56)/(C57-C56)</f>
        <v>4.4025477707009264</v>
      </c>
      <c r="C57" s="2">
        <v>5.7291666666666602E-2</v>
      </c>
      <c r="D57" s="4">
        <f t="shared" si="0"/>
        <v>0.32178343949044586</v>
      </c>
      <c r="E57">
        <v>421</v>
      </c>
      <c r="P57" s="5">
        <f>(R57-R56)/(Q57-Q56)</f>
        <v>3.9302013422820901</v>
      </c>
      <c r="Q57" s="2">
        <v>5.7291666666666602E-2</v>
      </c>
      <c r="R57" s="4">
        <f t="shared" si="1"/>
        <v>0.32587919463087245</v>
      </c>
      <c r="S57">
        <v>398</v>
      </c>
    </row>
    <row r="58" spans="2:19">
      <c r="B58" s="5">
        <f>(D58-D57)/(C58-C57)</f>
        <v>3.6687898089170874</v>
      </c>
      <c r="C58" s="2">
        <v>5.83333333333333E-2</v>
      </c>
      <c r="D58" s="4">
        <f t="shared" si="0"/>
        <v>0.32560509554140127</v>
      </c>
      <c r="E58">
        <v>426</v>
      </c>
      <c r="P58" s="5">
        <f>(R58-R57)/(Q58-Q57)</f>
        <v>4.7162416107381429</v>
      </c>
      <c r="Q58" s="2">
        <v>5.83333333333333E-2</v>
      </c>
      <c r="R58" s="4">
        <f t="shared" si="1"/>
        <v>0.33079194630872483</v>
      </c>
      <c r="S58">
        <v>404</v>
      </c>
    </row>
    <row r="59" spans="2:19">
      <c r="B59" s="5">
        <f>(D59-D58)/(C59-C58)</f>
        <v>4.4025477707004628</v>
      </c>
      <c r="C59" s="2">
        <v>5.9374999999999997E-2</v>
      </c>
      <c r="D59" s="4">
        <f t="shared" si="0"/>
        <v>0.33019108280254772</v>
      </c>
      <c r="E59">
        <v>432</v>
      </c>
      <c r="P59" s="5">
        <f>(R59-R58)/(Q59-Q58)</f>
        <v>3.9302013422817237</v>
      </c>
      <c r="Q59" s="2">
        <v>5.9374999999999997E-2</v>
      </c>
      <c r="R59" s="4">
        <f t="shared" si="1"/>
        <v>0.33488590604026841</v>
      </c>
      <c r="S59">
        <v>409</v>
      </c>
    </row>
    <row r="60" spans="2:19">
      <c r="B60" s="5">
        <f>(D60-D59)/(C60-C59)</f>
        <v>2.9350318471339865</v>
      </c>
      <c r="C60" s="2">
        <v>6.0416666666666598E-2</v>
      </c>
      <c r="D60" s="4">
        <f t="shared" si="0"/>
        <v>0.33324840764331209</v>
      </c>
      <c r="E60">
        <v>436</v>
      </c>
      <c r="P60" s="5">
        <f>(R60-R59)/(Q60-Q59)</f>
        <v>3.9302013422821434</v>
      </c>
      <c r="Q60" s="2">
        <v>6.0416666666666598E-2</v>
      </c>
      <c r="R60" s="4">
        <f t="shared" si="1"/>
        <v>0.33897986577181205</v>
      </c>
      <c r="S60">
        <v>414</v>
      </c>
    </row>
    <row r="61" spans="2:19">
      <c r="B61" s="5">
        <f>(D61-D60)/(C61-C60)</f>
        <v>4.4025477707004859</v>
      </c>
      <c r="C61" s="2">
        <v>6.1458333333333302E-2</v>
      </c>
      <c r="D61" s="4">
        <f t="shared" si="0"/>
        <v>0.3378343949044586</v>
      </c>
      <c r="E61">
        <v>442</v>
      </c>
      <c r="P61" s="5">
        <f>(R61-R60)/(Q61-Q60)</f>
        <v>3.9302013422818041</v>
      </c>
      <c r="Q61" s="2">
        <v>6.1458333333333302E-2</v>
      </c>
      <c r="R61" s="4">
        <f t="shared" si="1"/>
        <v>0.34307382550335574</v>
      </c>
      <c r="S61">
        <v>419</v>
      </c>
    </row>
    <row r="62" spans="2:19">
      <c r="B62" s="5">
        <f>(D62-D61)/(C62-C61)</f>
        <v>3.6687898089170874</v>
      </c>
      <c r="C62" s="2">
        <v>6.25E-2</v>
      </c>
      <c r="D62" s="4">
        <f t="shared" si="0"/>
        <v>0.34165605095541401</v>
      </c>
      <c r="E62">
        <v>447</v>
      </c>
      <c r="P62" s="5">
        <f>(R62-R61)/(Q62-Q61)</f>
        <v>3.9302013422817237</v>
      </c>
      <c r="Q62" s="2">
        <v>6.25E-2</v>
      </c>
      <c r="R62" s="4">
        <f t="shared" si="1"/>
        <v>0.34716778523489933</v>
      </c>
      <c r="S62">
        <v>424</v>
      </c>
    </row>
    <row r="63" spans="2:19">
      <c r="B63" s="5">
        <f>(D63-D62)/(C63-C62)</f>
        <v>2.9350318471339527</v>
      </c>
      <c r="C63" s="2">
        <v>6.3541666666666594E-2</v>
      </c>
      <c r="D63" s="4">
        <f t="shared" si="0"/>
        <v>0.34471337579617833</v>
      </c>
      <c r="E63">
        <v>451</v>
      </c>
      <c r="P63" s="5">
        <f>(R63-R62)/(Q63-Q62)</f>
        <v>3.9302013422821696</v>
      </c>
      <c r="Q63" s="2">
        <v>6.3541666666666594E-2</v>
      </c>
      <c r="R63" s="4">
        <f t="shared" si="1"/>
        <v>0.35126174496644297</v>
      </c>
      <c r="S63">
        <v>429</v>
      </c>
    </row>
    <row r="64" spans="2:19">
      <c r="B64" s="5">
        <f>(D64-D63)/(C64-C63)</f>
        <v>0.73375796178336994</v>
      </c>
      <c r="C64" s="2">
        <v>6.4583333333333298E-2</v>
      </c>
      <c r="D64" s="4">
        <f t="shared" si="0"/>
        <v>0.34547770700636937</v>
      </c>
      <c r="E64">
        <v>452</v>
      </c>
      <c r="P64" s="5">
        <f>(R64-R63)/(Q64-Q63)</f>
        <v>3.9302013422817508</v>
      </c>
      <c r="Q64" s="2">
        <v>6.4583333333333298E-2</v>
      </c>
      <c r="R64" s="4">
        <f t="shared" si="1"/>
        <v>0.35535570469798661</v>
      </c>
      <c r="S64">
        <v>434</v>
      </c>
    </row>
    <row r="65" spans="2:19">
      <c r="B65" s="5">
        <f>(D65-D64)/(C65-C64)</f>
        <v>0</v>
      </c>
      <c r="C65" s="2">
        <v>6.5625000000000003E-2</v>
      </c>
      <c r="D65" s="4">
        <f t="shared" si="0"/>
        <v>0.34547770700636937</v>
      </c>
      <c r="E65">
        <v>452</v>
      </c>
      <c r="P65" s="5">
        <f>(R65-R64)/(Q65-Q64)</f>
        <v>4.7162416107380585</v>
      </c>
      <c r="Q65" s="2">
        <v>6.5625000000000003E-2</v>
      </c>
      <c r="R65" s="4">
        <f t="shared" si="1"/>
        <v>0.36026845637583893</v>
      </c>
      <c r="S65">
        <v>440</v>
      </c>
    </row>
    <row r="66" spans="2:19">
      <c r="B66" s="5">
        <f>(D66-D65)/(C66-C65)</f>
        <v>-1.4675159235669497</v>
      </c>
      <c r="C66" s="2">
        <v>6.6666666666666596E-2</v>
      </c>
      <c r="D66" s="4">
        <f t="shared" si="0"/>
        <v>0.34394904458598724</v>
      </c>
      <c r="E66">
        <v>450</v>
      </c>
      <c r="P66" s="5">
        <f>(R66-R65)/(Q66-Q65)</f>
        <v>3.9302013422821696</v>
      </c>
      <c r="Q66" s="2">
        <v>6.6666666666666596E-2</v>
      </c>
      <c r="R66" s="4">
        <f t="shared" si="1"/>
        <v>0.36436241610738257</v>
      </c>
      <c r="S66">
        <v>445</v>
      </c>
    </row>
    <row r="67" spans="2:19">
      <c r="B67" s="5">
        <f>(D67-D66)/(C67-C66)</f>
        <v>-2.2012738853502163</v>
      </c>
      <c r="C67" s="2">
        <v>6.7708333333333301E-2</v>
      </c>
      <c r="D67" s="4">
        <f t="shared" ref="D67:D130" si="2">(0.24*E67)/314</f>
        <v>0.34165605095541401</v>
      </c>
      <c r="E67">
        <v>447</v>
      </c>
      <c r="P67" s="5">
        <f>(R67-R66)/(Q67-Q66)</f>
        <v>2.3581208053690292</v>
      </c>
      <c r="Q67" s="2">
        <v>6.7708333333333301E-2</v>
      </c>
      <c r="R67" s="4">
        <f t="shared" ref="R67:R130" si="3">(0.244*S67)/298</f>
        <v>0.36681879194630873</v>
      </c>
      <c r="S67">
        <v>448</v>
      </c>
    </row>
    <row r="68" spans="2:19">
      <c r="B68" s="5">
        <f>(D68-D67)/(C68-C67)</f>
        <v>-2.9350318471336929</v>
      </c>
      <c r="C68" s="2">
        <v>6.8750000000000006E-2</v>
      </c>
      <c r="D68" s="4">
        <f t="shared" si="2"/>
        <v>0.33859872611464964</v>
      </c>
      <c r="E68">
        <v>443</v>
      </c>
      <c r="P68" s="5">
        <f>(R68-R67)/(Q68-Q67)</f>
        <v>1.5720805369126682</v>
      </c>
      <c r="Q68" s="2">
        <v>6.8750000000000006E-2</v>
      </c>
      <c r="R68" s="4">
        <f t="shared" si="3"/>
        <v>0.36845637583892615</v>
      </c>
      <c r="S68">
        <v>450</v>
      </c>
    </row>
    <row r="69" spans="2:19">
      <c r="B69" s="5">
        <f>(D69-D68)/(C69-C68)</f>
        <v>-2.9350318471338994</v>
      </c>
      <c r="C69" s="2">
        <v>6.9791666666666599E-2</v>
      </c>
      <c r="D69" s="4">
        <f t="shared" si="2"/>
        <v>0.33554140127388538</v>
      </c>
      <c r="E69">
        <v>439</v>
      </c>
      <c r="P69" s="5">
        <f>(R69-R68)/(Q69-Q68)</f>
        <v>0.78604026845644459</v>
      </c>
      <c r="Q69" s="2">
        <v>6.9791666666666599E-2</v>
      </c>
      <c r="R69" s="4">
        <f t="shared" si="3"/>
        <v>0.36927516778523489</v>
      </c>
      <c r="S69">
        <v>451</v>
      </c>
    </row>
    <row r="70" spans="2:19">
      <c r="B70" s="5">
        <f>(D70-D69)/(C70-C69)</f>
        <v>-3.6687898089171163</v>
      </c>
      <c r="C70" s="2">
        <v>7.0833333333333304E-2</v>
      </c>
      <c r="D70" s="4">
        <f t="shared" si="2"/>
        <v>0.33171974522292991</v>
      </c>
      <c r="E70">
        <v>434</v>
      </c>
      <c r="P70" s="5">
        <f>(R70-R69)/(Q70-Q69)</f>
        <v>-0.78604026845636077</v>
      </c>
      <c r="Q70" s="2">
        <v>7.0833333333333304E-2</v>
      </c>
      <c r="R70" s="4">
        <f t="shared" si="3"/>
        <v>0.36845637583892615</v>
      </c>
      <c r="S70">
        <v>450</v>
      </c>
    </row>
    <row r="71" spans="2:19">
      <c r="B71" s="5">
        <f>(D71-D70)/(C71-C70)</f>
        <v>-2.9350318471336787</v>
      </c>
      <c r="C71" s="2">
        <v>7.1874999999999994E-2</v>
      </c>
      <c r="D71" s="4">
        <f t="shared" si="2"/>
        <v>0.32866242038216559</v>
      </c>
      <c r="E71">
        <v>430</v>
      </c>
      <c r="P71" s="5">
        <f>(R71-R70)/(Q71-Q70)</f>
        <v>-2.3581208053690603</v>
      </c>
      <c r="Q71" s="2">
        <v>7.1874999999999994E-2</v>
      </c>
      <c r="R71" s="4">
        <f t="shared" si="3"/>
        <v>0.36599999999999999</v>
      </c>
      <c r="S71">
        <v>447</v>
      </c>
    </row>
    <row r="72" spans="2:19">
      <c r="B72" s="5">
        <f>(D72-D71)/(C72-C71)</f>
        <v>-2.9350318471339136</v>
      </c>
      <c r="C72" s="2">
        <v>7.2916666666666602E-2</v>
      </c>
      <c r="D72" s="4">
        <f t="shared" si="2"/>
        <v>0.32560509554140127</v>
      </c>
      <c r="E72">
        <v>426</v>
      </c>
      <c r="P72" s="5">
        <f>(R72-R71)/(Q72-Q71)</f>
        <v>-3.1441610738256829</v>
      </c>
      <c r="Q72" s="2">
        <v>7.2916666666666602E-2</v>
      </c>
      <c r="R72" s="4">
        <f t="shared" si="3"/>
        <v>0.36272483221476509</v>
      </c>
      <c r="S72">
        <v>443</v>
      </c>
    </row>
    <row r="73" spans="2:19">
      <c r="B73" s="5">
        <f>(D73-D72)/(C73-C72)</f>
        <v>-3.668789808917063</v>
      </c>
      <c r="C73" s="2">
        <v>7.3958333333333307E-2</v>
      </c>
      <c r="D73" s="4">
        <f t="shared" si="2"/>
        <v>0.32178343949044586</v>
      </c>
      <c r="E73">
        <v>421</v>
      </c>
      <c r="P73" s="5">
        <f>(R73-R72)/(Q73-Q72)</f>
        <v>-3.1441610738253898</v>
      </c>
      <c r="Q73" s="2">
        <v>7.3958333333333307E-2</v>
      </c>
      <c r="R73" s="4">
        <f t="shared" si="3"/>
        <v>0.35944966442953019</v>
      </c>
      <c r="S73">
        <v>439</v>
      </c>
    </row>
    <row r="74" spans="2:19">
      <c r="B74" s="5">
        <f>(D74-D73)/(C74-C73)</f>
        <v>-2.9350318471336787</v>
      </c>
      <c r="C74" s="2">
        <v>7.4999999999999997E-2</v>
      </c>
      <c r="D74" s="4">
        <f t="shared" si="2"/>
        <v>0.31872611464968154</v>
      </c>
      <c r="E74">
        <v>417</v>
      </c>
      <c r="P74" s="5">
        <f>(R74-R73)/(Q74-Q73)</f>
        <v>-3.144161073825432</v>
      </c>
      <c r="Q74" s="2">
        <v>7.4999999999999997E-2</v>
      </c>
      <c r="R74" s="4">
        <f t="shared" si="3"/>
        <v>0.35617449664429529</v>
      </c>
      <c r="S74">
        <v>435</v>
      </c>
    </row>
    <row r="75" spans="2:19">
      <c r="B75" s="5">
        <f>(D75-D74)/(C75-C74)</f>
        <v>-2.9350318471339669</v>
      </c>
      <c r="C75" s="2">
        <v>7.6041666666666605E-2</v>
      </c>
      <c r="D75" s="4">
        <f t="shared" si="2"/>
        <v>0.31566878980891716</v>
      </c>
      <c r="E75">
        <v>413</v>
      </c>
      <c r="P75" s="5">
        <f>(R75-R74)/(Q75-Q74)</f>
        <v>-3.9302013422820639</v>
      </c>
      <c r="Q75" s="2">
        <v>7.6041666666666605E-2</v>
      </c>
      <c r="R75" s="4">
        <f t="shared" si="3"/>
        <v>0.35208053691275171</v>
      </c>
      <c r="S75">
        <v>430</v>
      </c>
    </row>
    <row r="76" spans="2:19">
      <c r="B76" s="5">
        <f>(D76-D75)/(C76-C75)</f>
        <v>-3.6687898089170585</v>
      </c>
      <c r="C76" s="2">
        <v>7.7083333333333295E-2</v>
      </c>
      <c r="D76" s="4">
        <f t="shared" si="2"/>
        <v>0.3118471337579618</v>
      </c>
      <c r="E76">
        <v>408</v>
      </c>
      <c r="P76" s="5">
        <f>(R76-R75)/(Q76-Q75)</f>
        <v>-3.144161073825432</v>
      </c>
      <c r="Q76" s="2">
        <v>7.7083333333333295E-2</v>
      </c>
      <c r="R76" s="4">
        <f t="shared" si="3"/>
        <v>0.34880536912751681</v>
      </c>
      <c r="S76">
        <v>426</v>
      </c>
    </row>
    <row r="77" spans="2:19">
      <c r="B77" s="5">
        <f>(D77-D76)/(C77-C76)</f>
        <v>-2.9350318471336929</v>
      </c>
      <c r="C77" s="2">
        <v>7.8125E-2</v>
      </c>
      <c r="D77" s="4">
        <f t="shared" si="2"/>
        <v>0.30878980891719743</v>
      </c>
      <c r="E77">
        <v>404</v>
      </c>
      <c r="P77" s="5">
        <f>(R77-R76)/(Q77-Q76)</f>
        <v>-3.9302013422817508</v>
      </c>
      <c r="Q77" s="2">
        <v>7.8125E-2</v>
      </c>
      <c r="R77" s="4">
        <f t="shared" si="3"/>
        <v>0.34471140939597317</v>
      </c>
      <c r="S77">
        <v>421</v>
      </c>
    </row>
    <row r="78" spans="2:19">
      <c r="B78" s="5">
        <f>(D78-D77)/(C78-C77)</f>
        <v>-3.6687898089174542</v>
      </c>
      <c r="C78" s="2">
        <v>7.9166666666666594E-2</v>
      </c>
      <c r="D78" s="4">
        <f t="shared" si="2"/>
        <v>0.30496815286624201</v>
      </c>
      <c r="E78">
        <v>399</v>
      </c>
      <c r="P78" s="5">
        <f>(R78-R77)/(Q78-Q77)</f>
        <v>-3.1441610738257251</v>
      </c>
      <c r="Q78" s="2">
        <v>7.9166666666666594E-2</v>
      </c>
      <c r="R78" s="4">
        <f t="shared" si="3"/>
        <v>0.34143624161073827</v>
      </c>
      <c r="S78">
        <v>417</v>
      </c>
    </row>
    <row r="79" spans="2:19">
      <c r="B79" s="5">
        <f>(D79-D78)/(C79-C78)</f>
        <v>-2.9350318471336396</v>
      </c>
      <c r="C79" s="2">
        <v>8.0208333333333298E-2</v>
      </c>
      <c r="D79" s="4">
        <f t="shared" si="2"/>
        <v>0.3019108280254777</v>
      </c>
      <c r="E79">
        <v>395</v>
      </c>
      <c r="P79" s="5">
        <f>(R79-R78)/(Q79-Q78)</f>
        <v>-3.9302013422817508</v>
      </c>
      <c r="Q79" s="2">
        <v>8.0208333333333298E-2</v>
      </c>
      <c r="R79" s="4">
        <f t="shared" si="3"/>
        <v>0.33734228187919463</v>
      </c>
      <c r="S79">
        <v>412</v>
      </c>
    </row>
    <row r="80" spans="2:19">
      <c r="B80" s="5">
        <f>(D80-D79)/(C80-C79)</f>
        <v>-3.668789808917063</v>
      </c>
      <c r="C80" s="2">
        <v>8.1250000000000003E-2</v>
      </c>
      <c r="D80" s="4">
        <f t="shared" si="2"/>
        <v>0.29808917197452228</v>
      </c>
      <c r="E80">
        <v>390</v>
      </c>
      <c r="P80" s="5">
        <f>(R80-R79)/(Q80-Q79)</f>
        <v>-3.1441610738253898</v>
      </c>
      <c r="Q80" s="2">
        <v>8.1250000000000003E-2</v>
      </c>
      <c r="R80" s="4">
        <f t="shared" si="3"/>
        <v>0.33406711409395973</v>
      </c>
      <c r="S80">
        <v>408</v>
      </c>
    </row>
    <row r="81" spans="2:19">
      <c r="B81" s="5">
        <f>(D81-D80)/(C81-C80)</f>
        <v>-2.9350318471339527</v>
      </c>
      <c r="C81" s="2">
        <v>8.2291666666666596E-2</v>
      </c>
      <c r="D81" s="4">
        <f t="shared" si="2"/>
        <v>0.29503184713375796</v>
      </c>
      <c r="E81">
        <v>386</v>
      </c>
      <c r="P81" s="5">
        <f>(R81-R80)/(Q81-Q80)</f>
        <v>-3.1441610738257251</v>
      </c>
      <c r="Q81" s="2">
        <v>8.2291666666666596E-2</v>
      </c>
      <c r="R81" s="4">
        <f t="shared" si="3"/>
        <v>0.33079194630872483</v>
      </c>
      <c r="S81">
        <v>404</v>
      </c>
    </row>
    <row r="82" spans="2:19">
      <c r="B82" s="5">
        <f>(D82-D81)/(C82-C81)</f>
        <v>-3.668789808917063</v>
      </c>
      <c r="C82" s="2">
        <v>8.3333333333333301E-2</v>
      </c>
      <c r="D82" s="4">
        <f t="shared" si="2"/>
        <v>0.29121019108280255</v>
      </c>
      <c r="E82">
        <v>381</v>
      </c>
      <c r="P82" s="5">
        <f>(R82-R81)/(Q82-Q81)</f>
        <v>-3.9302013422817508</v>
      </c>
      <c r="Q82" s="2">
        <v>8.3333333333333301E-2</v>
      </c>
      <c r="R82" s="4">
        <f t="shared" si="3"/>
        <v>0.32669798657718119</v>
      </c>
      <c r="S82">
        <v>399</v>
      </c>
    </row>
    <row r="83" spans="2:19">
      <c r="B83" s="5">
        <f>(D83-D82)/(C83-C82)</f>
        <v>-2.9350318471336929</v>
      </c>
      <c r="C83" s="2">
        <v>8.4375000000000006E-2</v>
      </c>
      <c r="D83" s="4">
        <f t="shared" si="2"/>
        <v>0.28815286624203817</v>
      </c>
      <c r="E83">
        <v>377</v>
      </c>
      <c r="P83" s="5">
        <f>(R83-R82)/(Q83-Q82)</f>
        <v>-3.1441610738253898</v>
      </c>
      <c r="Q83" s="2">
        <v>8.4375000000000006E-2</v>
      </c>
      <c r="R83" s="4">
        <f t="shared" si="3"/>
        <v>0.32342281879194629</v>
      </c>
      <c r="S83">
        <v>395</v>
      </c>
    </row>
    <row r="84" spans="2:19">
      <c r="B84" s="5">
        <f>(D84-D83)/(C84-C83)</f>
        <v>-3.6687898089174009</v>
      </c>
      <c r="C84" s="2">
        <v>8.5416666666666599E-2</v>
      </c>
      <c r="D84" s="4">
        <f t="shared" si="2"/>
        <v>0.28433121019108282</v>
      </c>
      <c r="E84">
        <v>372</v>
      </c>
      <c r="P84" s="5">
        <f>(R84-R83)/(Q84-Q83)</f>
        <v>-3.9302013422821696</v>
      </c>
      <c r="Q84" s="2">
        <v>8.5416666666666599E-2</v>
      </c>
      <c r="R84" s="4">
        <f t="shared" si="3"/>
        <v>0.31932885906040265</v>
      </c>
      <c r="S84">
        <v>390</v>
      </c>
    </row>
    <row r="85" spans="2:19">
      <c r="B85" s="5">
        <f>(D85-D84)/(C85-C84)</f>
        <v>-2.9350318471336929</v>
      </c>
      <c r="C85" s="2">
        <v>8.6458333333333304E-2</v>
      </c>
      <c r="D85" s="4">
        <f t="shared" si="2"/>
        <v>0.28127388535031844</v>
      </c>
      <c r="E85">
        <v>368</v>
      </c>
      <c r="P85" s="5">
        <f>(R85-R84)/(Q85-Q84)</f>
        <v>-3.1441610738253365</v>
      </c>
      <c r="Q85" s="2">
        <v>8.6458333333333304E-2</v>
      </c>
      <c r="R85" s="4">
        <f t="shared" si="3"/>
        <v>0.3160536912751678</v>
      </c>
      <c r="S85">
        <v>386</v>
      </c>
    </row>
    <row r="86" spans="2:19">
      <c r="B86" s="5">
        <f>(D86-D85)/(C86-C85)</f>
        <v>-2.9350318471336787</v>
      </c>
      <c r="C86" s="2">
        <v>8.7499999999999994E-2</v>
      </c>
      <c r="D86" s="4">
        <f t="shared" si="2"/>
        <v>0.27821656050955412</v>
      </c>
      <c r="E86">
        <v>364</v>
      </c>
      <c r="P86" s="5">
        <f>(R86-R85)/(Q86-Q85)</f>
        <v>-3.9302013422818032</v>
      </c>
      <c r="Q86" s="2">
        <v>8.7499999999999994E-2</v>
      </c>
      <c r="R86" s="4">
        <f t="shared" si="3"/>
        <v>0.31195973154362416</v>
      </c>
      <c r="S86">
        <v>381</v>
      </c>
    </row>
    <row r="87" spans="2:19">
      <c r="B87" s="5">
        <f>(D87-D86)/(C87-C86)</f>
        <v>-3.6687898089174054</v>
      </c>
      <c r="C87" s="2">
        <v>8.8541666666666602E-2</v>
      </c>
      <c r="D87" s="4">
        <f t="shared" si="2"/>
        <v>0.27439490445859871</v>
      </c>
      <c r="E87">
        <v>359</v>
      </c>
      <c r="P87" s="5">
        <f>(R87-R86)/(Q87-Q86)</f>
        <v>-3.1441610738256829</v>
      </c>
      <c r="Q87" s="2">
        <v>8.8541666666666602E-2</v>
      </c>
      <c r="R87" s="4">
        <f t="shared" si="3"/>
        <v>0.30868456375838926</v>
      </c>
      <c r="S87">
        <v>377</v>
      </c>
    </row>
    <row r="88" spans="2:19">
      <c r="B88" s="5">
        <f>(D88-D87)/(C88-C87)</f>
        <v>-2.9350318471336396</v>
      </c>
      <c r="C88" s="2">
        <v>8.9583333333333307E-2</v>
      </c>
      <c r="D88" s="4">
        <f t="shared" si="2"/>
        <v>0.27133757961783439</v>
      </c>
      <c r="E88">
        <v>355</v>
      </c>
      <c r="P88" s="5">
        <f>(R88-R87)/(Q88-Q87)</f>
        <v>-3.9302013422817508</v>
      </c>
      <c r="Q88" s="2">
        <v>8.9583333333333307E-2</v>
      </c>
      <c r="R88" s="4">
        <f t="shared" si="3"/>
        <v>0.30459060402684562</v>
      </c>
      <c r="S88">
        <v>372</v>
      </c>
    </row>
    <row r="89" spans="2:19">
      <c r="B89" s="5">
        <f>(D89-D88)/(C89-C88)</f>
        <v>-2.9350318471336787</v>
      </c>
      <c r="C89" s="2">
        <v>9.0624999999999997E-2</v>
      </c>
      <c r="D89" s="4">
        <f t="shared" si="2"/>
        <v>0.26828025477707007</v>
      </c>
      <c r="E89">
        <v>351</v>
      </c>
      <c r="P89" s="5">
        <f>(R89-R88)/(Q89-Q88)</f>
        <v>-3.144161073825432</v>
      </c>
      <c r="Q89" s="2">
        <v>9.0624999999999997E-2</v>
      </c>
      <c r="R89" s="4">
        <f t="shared" si="3"/>
        <v>0.30131543624161072</v>
      </c>
      <c r="S89">
        <v>368</v>
      </c>
    </row>
    <row r="90" spans="2:19">
      <c r="B90" s="5">
        <f>(D90-D89)/(C90-C89)</f>
        <v>-3.6687898089174587</v>
      </c>
      <c r="C90" s="2">
        <v>9.1666666666666605E-2</v>
      </c>
      <c r="D90" s="4">
        <f t="shared" si="2"/>
        <v>0.2644585987261146</v>
      </c>
      <c r="E90">
        <v>346</v>
      </c>
      <c r="P90" s="5">
        <f>(R90-R89)/(Q90-Q89)</f>
        <v>-3.1441610738256829</v>
      </c>
      <c r="Q90" s="2">
        <v>9.1666666666666605E-2</v>
      </c>
      <c r="R90" s="4">
        <f t="shared" si="3"/>
        <v>0.29804026845637582</v>
      </c>
      <c r="S90">
        <v>364</v>
      </c>
    </row>
    <row r="91" spans="2:19">
      <c r="B91" s="5">
        <f>(D91-D90)/(C91-C90)</f>
        <v>-2.9350318471336254</v>
      </c>
      <c r="C91" s="2">
        <v>9.2708333333333295E-2</v>
      </c>
      <c r="D91" s="4">
        <f t="shared" si="2"/>
        <v>0.26140127388535034</v>
      </c>
      <c r="E91">
        <v>342</v>
      </c>
      <c r="P91" s="5">
        <f>(R91-R90)/(Q91-Q90)</f>
        <v>-3.9302013422817499</v>
      </c>
      <c r="Q91" s="2">
        <v>9.2708333333333295E-2</v>
      </c>
      <c r="R91" s="4">
        <f t="shared" si="3"/>
        <v>0.29394630872483224</v>
      </c>
      <c r="S91">
        <v>359</v>
      </c>
    </row>
    <row r="92" spans="2:19">
      <c r="B92" s="5">
        <f>(D92-D91)/(C92-C91)</f>
        <v>-3.6687898089171163</v>
      </c>
      <c r="C92" s="2">
        <v>9.375E-2</v>
      </c>
      <c r="D92" s="4">
        <f t="shared" si="2"/>
        <v>0.25757961783439487</v>
      </c>
      <c r="E92">
        <v>337</v>
      </c>
      <c r="P92" s="5">
        <f>(R92-R91)/(Q92-Q91)</f>
        <v>-3.1441610738253898</v>
      </c>
      <c r="Q92" s="2">
        <v>9.375E-2</v>
      </c>
      <c r="R92" s="4">
        <f t="shared" si="3"/>
        <v>0.29067114093959734</v>
      </c>
      <c r="S92">
        <v>355</v>
      </c>
    </row>
    <row r="93" spans="2:19">
      <c r="B93" s="5">
        <f>(D93-D92)/(C93-C92)</f>
        <v>-2.9350318471338994</v>
      </c>
      <c r="C93" s="2">
        <v>9.4791666666666594E-2</v>
      </c>
      <c r="D93" s="4">
        <f t="shared" si="2"/>
        <v>0.25452229299363061</v>
      </c>
      <c r="E93">
        <v>333</v>
      </c>
      <c r="P93" s="5">
        <f>(R93-R92)/(Q93-Q92)</f>
        <v>-3.1441610738257784</v>
      </c>
      <c r="Q93" s="2">
        <v>9.4791666666666594E-2</v>
      </c>
      <c r="R93" s="4">
        <f t="shared" si="3"/>
        <v>0.28739597315436238</v>
      </c>
      <c r="S93">
        <v>351</v>
      </c>
    </row>
    <row r="94" spans="2:19">
      <c r="B94" s="5">
        <f>(D94-D93)/(C94-C93)</f>
        <v>-3.6687898089171163</v>
      </c>
      <c r="C94" s="2">
        <v>9.5833333333333298E-2</v>
      </c>
      <c r="D94" s="4">
        <f t="shared" si="2"/>
        <v>0.25070063694267514</v>
      </c>
      <c r="E94">
        <v>328</v>
      </c>
      <c r="P94" s="5">
        <f>(R94-R93)/(Q94-Q93)</f>
        <v>-3.9302013422817508</v>
      </c>
      <c r="Q94" s="2">
        <v>9.5833333333333298E-2</v>
      </c>
      <c r="R94" s="4">
        <f t="shared" si="3"/>
        <v>0.28330201342281874</v>
      </c>
      <c r="S94">
        <v>346</v>
      </c>
    </row>
    <row r="95" spans="2:19">
      <c r="B95" s="5">
        <f>(D95-D94)/(C95-C94)</f>
        <v>-2.9350318471336663</v>
      </c>
      <c r="C95" s="2">
        <v>9.6875000000000003E-2</v>
      </c>
      <c r="D95" s="4">
        <f t="shared" si="2"/>
        <v>0.24764331210191079</v>
      </c>
      <c r="E95">
        <v>324</v>
      </c>
      <c r="P95" s="5">
        <f>(R95-R94)/(Q95-Q94)</f>
        <v>-3.1441610738253898</v>
      </c>
      <c r="Q95" s="2">
        <v>9.6875000000000003E-2</v>
      </c>
      <c r="R95" s="4">
        <f t="shared" si="3"/>
        <v>0.28002684563758384</v>
      </c>
      <c r="S95">
        <v>342</v>
      </c>
    </row>
    <row r="96" spans="2:19">
      <c r="B96" s="5">
        <f>(D96-D95)/(C96-C95)</f>
        <v>-2.9350318471339261</v>
      </c>
      <c r="C96" s="2">
        <v>9.7916666666666596E-2</v>
      </c>
      <c r="D96" s="4">
        <f t="shared" si="2"/>
        <v>0.2445859872611465</v>
      </c>
      <c r="E96">
        <v>320</v>
      </c>
      <c r="P96" s="5">
        <f>(R96-R95)/(Q96-Q95)</f>
        <v>-3.1441610738256718</v>
      </c>
      <c r="Q96" s="2">
        <v>9.7916666666666596E-2</v>
      </c>
      <c r="R96" s="4">
        <f t="shared" si="3"/>
        <v>0.276751677852349</v>
      </c>
      <c r="S96">
        <v>338</v>
      </c>
    </row>
    <row r="97" spans="2:19">
      <c r="B97" s="5">
        <f>(D97-D96)/(C97-C96)</f>
        <v>-2.9350318471336396</v>
      </c>
      <c r="C97" s="2">
        <v>9.8958333333333301E-2</v>
      </c>
      <c r="D97" s="4">
        <f t="shared" si="2"/>
        <v>0.24152866242038218</v>
      </c>
      <c r="E97">
        <v>316</v>
      </c>
      <c r="P97" s="5">
        <f>(R97-R96)/(Q97-Q96)</f>
        <v>-3.9302013422817508</v>
      </c>
      <c r="Q97" s="2">
        <v>9.8958333333333301E-2</v>
      </c>
      <c r="R97" s="4">
        <f t="shared" si="3"/>
        <v>0.27265771812080536</v>
      </c>
      <c r="S97">
        <v>333</v>
      </c>
    </row>
    <row r="98" spans="2:19">
      <c r="B98" s="5">
        <f>(D98-D97)/(C98-C97)</f>
        <v>-3.668789808917063</v>
      </c>
      <c r="C98" s="2">
        <v>0.1</v>
      </c>
      <c r="D98" s="4">
        <f t="shared" si="2"/>
        <v>0.23770700636942677</v>
      </c>
      <c r="E98">
        <v>311</v>
      </c>
      <c r="P98" s="5">
        <f>(R98-R97)/(Q98-Q97)</f>
        <v>-3.1441610738253898</v>
      </c>
      <c r="Q98" s="2">
        <v>0.1</v>
      </c>
      <c r="R98" s="4">
        <f t="shared" si="3"/>
        <v>0.26938255033557046</v>
      </c>
      <c r="S98">
        <v>329</v>
      </c>
    </row>
    <row r="99" spans="2:19">
      <c r="B99" s="5">
        <f>(D99-D98)/(C99-C98)</f>
        <v>-2.9350318471356873</v>
      </c>
      <c r="C99" s="2">
        <v>0.101041666666666</v>
      </c>
      <c r="D99" s="4">
        <f t="shared" si="2"/>
        <v>0.23464968152866239</v>
      </c>
      <c r="E99">
        <v>307</v>
      </c>
      <c r="P99" s="5">
        <f>(R99-R98)/(Q99-Q98)</f>
        <v>-3.1441610738275263</v>
      </c>
      <c r="Q99" s="2">
        <v>0.101041666666666</v>
      </c>
      <c r="R99" s="4">
        <f t="shared" si="3"/>
        <v>0.26610738255033556</v>
      </c>
      <c r="S99">
        <v>325</v>
      </c>
    </row>
    <row r="100" spans="2:19">
      <c r="B100" s="5">
        <f>(D100-D99)/(C100-C99)</f>
        <v>-3.6687898089159834</v>
      </c>
      <c r="C100" s="2">
        <v>0.102083333333333</v>
      </c>
      <c r="D100" s="4">
        <f t="shared" si="2"/>
        <v>0.23082802547770703</v>
      </c>
      <c r="E100">
        <v>302</v>
      </c>
      <c r="P100" s="5">
        <f>(R100-R99)/(Q100-Q99)</f>
        <v>-3.9302013422806512</v>
      </c>
      <c r="Q100" s="2">
        <v>0.102083333333333</v>
      </c>
      <c r="R100" s="4">
        <f t="shared" si="3"/>
        <v>0.26201342281879192</v>
      </c>
      <c r="S100">
        <v>320</v>
      </c>
    </row>
    <row r="101" spans="2:19">
      <c r="B101" s="5">
        <f>(D101-D100)/(C101-C100)</f>
        <v>-2.9350318471328718</v>
      </c>
      <c r="C101" s="2">
        <v>0.10312499999999999</v>
      </c>
      <c r="D101" s="4">
        <f t="shared" si="2"/>
        <v>0.22777070063694266</v>
      </c>
      <c r="E101">
        <v>298</v>
      </c>
      <c r="P101" s="5">
        <f>(R101-R100)/(Q101-Q100)</f>
        <v>-3.14416107382451</v>
      </c>
      <c r="Q101" s="2">
        <v>0.10312499999999999</v>
      </c>
      <c r="R101" s="4">
        <f t="shared" si="3"/>
        <v>0.25873825503355702</v>
      </c>
      <c r="S101">
        <v>316</v>
      </c>
    </row>
    <row r="102" spans="2:19">
      <c r="B102" s="5">
        <f>(D102-D101)/(C102-C101)</f>
        <v>-2.935031847135595</v>
      </c>
      <c r="C102" s="2">
        <v>0.10416666666666601</v>
      </c>
      <c r="D102" s="4">
        <f t="shared" si="2"/>
        <v>0.22471337579617834</v>
      </c>
      <c r="E102">
        <v>294</v>
      </c>
      <c r="P102" s="5">
        <f>(R102-R101)/(Q102-Q101)</f>
        <v>-3.1441610738274308</v>
      </c>
      <c r="Q102" s="2">
        <v>0.10416666666666601</v>
      </c>
      <c r="R102" s="4">
        <f t="shared" si="3"/>
        <v>0.25546308724832217</v>
      </c>
      <c r="S102">
        <v>312</v>
      </c>
    </row>
    <row r="103" spans="2:19">
      <c r="B103" s="5">
        <f>(D103-D102)/(C103-C102)</f>
        <v>-3.6687898089160367</v>
      </c>
      <c r="C103" s="2">
        <v>0.105208333333333</v>
      </c>
      <c r="D103" s="4">
        <f t="shared" si="2"/>
        <v>0.22089171974522293</v>
      </c>
      <c r="E103">
        <v>289</v>
      </c>
      <c r="P103" s="5">
        <f>(R103-R102)/(Q103-Q102)</f>
        <v>-3.9302013422806512</v>
      </c>
      <c r="Q103" s="2">
        <v>0.105208333333333</v>
      </c>
      <c r="R103" s="4">
        <f t="shared" si="3"/>
        <v>0.25136912751677853</v>
      </c>
      <c r="S103">
        <v>307</v>
      </c>
    </row>
    <row r="104" spans="2:19">
      <c r="B104" s="5">
        <f>(D104-D103)/(C104-C103)</f>
        <v>-2.9350318471328452</v>
      </c>
      <c r="C104" s="2">
        <v>0.10625</v>
      </c>
      <c r="D104" s="4">
        <f t="shared" si="2"/>
        <v>0.21783439490445858</v>
      </c>
      <c r="E104">
        <v>285</v>
      </c>
      <c r="P104" s="5">
        <f>(R104-R103)/(Q104-Q103)</f>
        <v>-3.14416107382451</v>
      </c>
      <c r="Q104" s="2">
        <v>0.10625</v>
      </c>
      <c r="R104" s="4">
        <f t="shared" si="3"/>
        <v>0.24809395973154363</v>
      </c>
      <c r="S104">
        <v>303</v>
      </c>
    </row>
    <row r="105" spans="2:19">
      <c r="B105" s="5">
        <f>(D105-D104)/(C105-C104)</f>
        <v>-2.935031847135634</v>
      </c>
      <c r="C105" s="2">
        <v>0.10729166666666599</v>
      </c>
      <c r="D105" s="4">
        <f t="shared" si="2"/>
        <v>0.21477707006369426</v>
      </c>
      <c r="E105">
        <v>281</v>
      </c>
      <c r="P105" s="5">
        <f>(R105-R104)/(Q105-Q104)</f>
        <v>-3.1441610738275263</v>
      </c>
      <c r="Q105" s="2">
        <v>0.10729166666666599</v>
      </c>
      <c r="R105" s="4">
        <f t="shared" si="3"/>
        <v>0.24481879194630873</v>
      </c>
      <c r="S105">
        <v>299</v>
      </c>
    </row>
    <row r="106" spans="2:19">
      <c r="B106" s="5">
        <f>(D106-D105)/(C106-C105)</f>
        <v>-3.6687898089159878</v>
      </c>
      <c r="C106" s="2">
        <v>0.108333333333333</v>
      </c>
      <c r="D106" s="4">
        <f t="shared" si="2"/>
        <v>0.21095541401273885</v>
      </c>
      <c r="E106">
        <v>276</v>
      </c>
      <c r="P106" s="5">
        <f>(R106-R105)/(Q106-Q105)</f>
        <v>-3.9302013422805722</v>
      </c>
      <c r="Q106" s="2">
        <v>0.108333333333333</v>
      </c>
      <c r="R106" s="4">
        <f t="shared" si="3"/>
        <v>0.24072483221476512</v>
      </c>
      <c r="S106">
        <v>294</v>
      </c>
    </row>
    <row r="107" spans="2:19">
      <c r="B107" s="5">
        <f>(D107-D106)/(C107-C106)</f>
        <v>-2.9350318471328185</v>
      </c>
      <c r="C107" s="2">
        <v>0.109375</v>
      </c>
      <c r="D107" s="4">
        <f t="shared" si="2"/>
        <v>0.20789808917197453</v>
      </c>
      <c r="E107">
        <v>272</v>
      </c>
      <c r="P107" s="5">
        <f>(R107-R106)/(Q107-Q106)</f>
        <v>-3.14416107382451</v>
      </c>
      <c r="Q107" s="2">
        <v>0.109375</v>
      </c>
      <c r="R107" s="4">
        <f t="shared" si="3"/>
        <v>0.23744966442953022</v>
      </c>
      <c r="S107">
        <v>290</v>
      </c>
    </row>
    <row r="108" spans="2:19">
      <c r="B108" s="5">
        <f>(D108-D107)/(C108-C107)</f>
        <v>-2.9350318471356607</v>
      </c>
      <c r="C108" s="2">
        <v>0.110416666666666</v>
      </c>
      <c r="D108" s="4">
        <f t="shared" si="2"/>
        <v>0.20484076433121018</v>
      </c>
      <c r="E108">
        <v>268</v>
      </c>
      <c r="P108" s="5">
        <f>(R108-R107)/(Q108-Q107)</f>
        <v>-3.1441610738275796</v>
      </c>
      <c r="Q108" s="2">
        <v>0.110416666666666</v>
      </c>
      <c r="R108" s="4">
        <f t="shared" si="3"/>
        <v>0.23417449664429527</v>
      </c>
      <c r="S108">
        <v>286</v>
      </c>
    </row>
    <row r="109" spans="2:19">
      <c r="B109" s="5">
        <f>(D109-D108)/(C109-C108)</f>
        <v>-3.6687898089159878</v>
      </c>
      <c r="C109" s="2">
        <v>0.11145833333333301</v>
      </c>
      <c r="D109" s="4">
        <f t="shared" si="2"/>
        <v>0.20101910828025477</v>
      </c>
      <c r="E109">
        <v>263</v>
      </c>
      <c r="P109" s="5">
        <f>(R109-R108)/(Q109-Q108)</f>
        <v>-3.9302013422805722</v>
      </c>
      <c r="Q109" s="2">
        <v>0.11145833333333301</v>
      </c>
      <c r="R109" s="4">
        <f t="shared" si="3"/>
        <v>0.23008053691275165</v>
      </c>
      <c r="S109">
        <v>281</v>
      </c>
    </row>
    <row r="110" spans="2:19">
      <c r="B110" s="5">
        <f>(D110-D109)/(C110-C109)</f>
        <v>-2.9350318471328185</v>
      </c>
      <c r="C110" s="2">
        <v>0.1125</v>
      </c>
      <c r="D110" s="4">
        <f t="shared" si="2"/>
        <v>0.19796178343949045</v>
      </c>
      <c r="E110">
        <v>259</v>
      </c>
      <c r="P110" s="5">
        <f>(R110-R109)/(Q110-Q109)</f>
        <v>-3.14416107382451</v>
      </c>
      <c r="Q110" s="2">
        <v>0.1125</v>
      </c>
      <c r="R110" s="4">
        <f t="shared" si="3"/>
        <v>0.22680536912751675</v>
      </c>
      <c r="S110">
        <v>277</v>
      </c>
    </row>
    <row r="111" spans="2:19">
      <c r="B111" s="5">
        <f>(D111-D110)/(C111-C110)</f>
        <v>-2.9350318471356607</v>
      </c>
      <c r="C111" s="2">
        <v>0.113541666666666</v>
      </c>
      <c r="D111" s="4">
        <f t="shared" si="2"/>
        <v>0.1949044585987261</v>
      </c>
      <c r="E111">
        <v>255</v>
      </c>
      <c r="P111" s="5">
        <f>(R111-R110)/(Q111-Q110)</f>
        <v>-3.1441610738275263</v>
      </c>
      <c r="Q111" s="2">
        <v>0.113541666666666</v>
      </c>
      <c r="R111" s="4">
        <f t="shared" si="3"/>
        <v>0.22353020134228185</v>
      </c>
      <c r="S111">
        <v>273</v>
      </c>
    </row>
    <row r="112" spans="2:19">
      <c r="B112" s="5">
        <f>(D112-D111)/(C112-C111)</f>
        <v>-2.9350318471328185</v>
      </c>
      <c r="C112" s="2">
        <v>0.114583333333333</v>
      </c>
      <c r="D112" s="4">
        <f t="shared" si="2"/>
        <v>0.19184713375796178</v>
      </c>
      <c r="E112">
        <v>251</v>
      </c>
      <c r="P112" s="5">
        <f>(R112-R111)/(Q112-Q111)</f>
        <v>-3.14416107382451</v>
      </c>
      <c r="Q112" s="2">
        <v>0.114583333333333</v>
      </c>
      <c r="R112" s="4">
        <f t="shared" si="3"/>
        <v>0.22025503355704695</v>
      </c>
      <c r="S112">
        <v>269</v>
      </c>
    </row>
    <row r="113" spans="2:19">
      <c r="B113" s="5">
        <f>(D113-D112)/(C113-C112)</f>
        <v>-3.6687898089159878</v>
      </c>
      <c r="C113" s="2">
        <v>0.11562500000000001</v>
      </c>
      <c r="D113" s="4">
        <f t="shared" si="2"/>
        <v>0.18802547770700637</v>
      </c>
      <c r="E113">
        <v>246</v>
      </c>
      <c r="P113" s="5">
        <f>(R113-R112)/(Q113-Q112)</f>
        <v>-3.9302013422805722</v>
      </c>
      <c r="Q113" s="2">
        <v>0.11562500000000001</v>
      </c>
      <c r="R113" s="4">
        <f t="shared" si="3"/>
        <v>0.21616107382550334</v>
      </c>
      <c r="S113">
        <v>264</v>
      </c>
    </row>
    <row r="114" spans="2:19">
      <c r="B114" s="5">
        <f>(D114-D113)/(C114-C113)</f>
        <v>-2.9350318471356607</v>
      </c>
      <c r="C114" s="2">
        <v>0.116666666666666</v>
      </c>
      <c r="D114" s="4">
        <f t="shared" si="2"/>
        <v>0.18496815286624202</v>
      </c>
      <c r="E114">
        <v>242</v>
      </c>
      <c r="P114" s="5">
        <f>(R114-R113)/(Q114-Q113)</f>
        <v>-3.1441610738275263</v>
      </c>
      <c r="Q114" s="2">
        <v>0.116666666666666</v>
      </c>
      <c r="R114" s="4">
        <f t="shared" si="3"/>
        <v>0.21288590604026844</v>
      </c>
      <c r="S114">
        <v>260</v>
      </c>
    </row>
    <row r="115" spans="2:19">
      <c r="B115" s="5">
        <f>(D115-D114)/(C115-C114)</f>
        <v>-2.9350318471328185</v>
      </c>
      <c r="C115" s="2">
        <v>0.117708333333333</v>
      </c>
      <c r="D115" s="4">
        <f t="shared" si="2"/>
        <v>0.1819108280254777</v>
      </c>
      <c r="E115">
        <v>238</v>
      </c>
      <c r="P115" s="5">
        <f>(R115-R114)/(Q115-Q114)</f>
        <v>-3.14416107382451</v>
      </c>
      <c r="Q115" s="2">
        <v>0.117708333333333</v>
      </c>
      <c r="R115" s="4">
        <f t="shared" si="3"/>
        <v>0.20961073825503354</v>
      </c>
      <c r="S115">
        <v>256</v>
      </c>
    </row>
    <row r="116" spans="2:19">
      <c r="B116" s="5">
        <f>(D116-D115)/(C116-C115)</f>
        <v>-3.6687898089160367</v>
      </c>
      <c r="C116" s="2">
        <v>0.11874999999999999</v>
      </c>
      <c r="D116" s="4">
        <f t="shared" si="2"/>
        <v>0.17808917197452229</v>
      </c>
      <c r="E116">
        <v>233</v>
      </c>
      <c r="P116" s="5">
        <f>(R116-R115)/(Q116-Q115)</f>
        <v>-3.9302013422806246</v>
      </c>
      <c r="Q116" s="2">
        <v>0.11874999999999999</v>
      </c>
      <c r="R116" s="4">
        <f t="shared" si="3"/>
        <v>0.20551677852348993</v>
      </c>
      <c r="S116">
        <v>251</v>
      </c>
    </row>
    <row r="117" spans="2:19">
      <c r="B117" s="5">
        <f>(D117-D116)/(C117-C116)</f>
        <v>-2.935031847135595</v>
      </c>
      <c r="C117" s="2">
        <v>0.11979166666666601</v>
      </c>
      <c r="D117" s="4">
        <f t="shared" si="2"/>
        <v>0.17503184713375797</v>
      </c>
      <c r="E117">
        <v>229</v>
      </c>
      <c r="P117" s="5">
        <f>(R117-R116)/(Q117-Q116)</f>
        <v>-3.1441610738274841</v>
      </c>
      <c r="Q117" s="2">
        <v>0.11979166666666601</v>
      </c>
      <c r="R117" s="4">
        <f t="shared" si="3"/>
        <v>0.20224161073825503</v>
      </c>
      <c r="S117">
        <v>247</v>
      </c>
    </row>
    <row r="118" spans="2:19">
      <c r="B118" s="5">
        <f>(D118-D117)/(C118-C117)</f>
        <v>-2.9350318471328452</v>
      </c>
      <c r="C118" s="2">
        <v>0.120833333333333</v>
      </c>
      <c r="D118" s="4">
        <f t="shared" si="2"/>
        <v>0.17197452229299362</v>
      </c>
      <c r="E118">
        <v>225</v>
      </c>
      <c r="P118" s="5">
        <f>(R118-R117)/(Q118-Q117)</f>
        <v>-3.14416107382451</v>
      </c>
      <c r="Q118" s="2">
        <v>0.120833333333333</v>
      </c>
      <c r="R118" s="4">
        <f t="shared" si="3"/>
        <v>0.19896644295302013</v>
      </c>
      <c r="S118">
        <v>243</v>
      </c>
    </row>
    <row r="119" spans="2:19">
      <c r="B119" s="5">
        <f>(D119-D118)/(C119-C118)</f>
        <v>-3.6687898089160367</v>
      </c>
      <c r="C119" s="2">
        <v>0.121875</v>
      </c>
      <c r="D119" s="4">
        <f t="shared" si="2"/>
        <v>0.16815286624203821</v>
      </c>
      <c r="E119">
        <v>220</v>
      </c>
      <c r="P119" s="5">
        <f>(R119-R118)/(Q119-Q118)</f>
        <v>-3.14416107382451</v>
      </c>
      <c r="Q119" s="2">
        <v>0.121875</v>
      </c>
      <c r="R119" s="4">
        <f t="shared" si="3"/>
        <v>0.19569127516778523</v>
      </c>
      <c r="S119">
        <v>239</v>
      </c>
    </row>
    <row r="120" spans="2:19">
      <c r="B120" s="5">
        <f>(D120-D119)/(C120-C119)</f>
        <v>-2.9350318471356607</v>
      </c>
      <c r="C120" s="2">
        <v>0.12291666666666599</v>
      </c>
      <c r="D120" s="4">
        <f t="shared" si="2"/>
        <v>0.16509554140127386</v>
      </c>
      <c r="E120">
        <v>216</v>
      </c>
      <c r="P120" s="5">
        <f>(R120-R119)/(Q120-Q119)</f>
        <v>-3.9302013422844211</v>
      </c>
      <c r="Q120" s="2">
        <v>0.12291666666666599</v>
      </c>
      <c r="R120" s="4">
        <f t="shared" si="3"/>
        <v>0.19159731543624159</v>
      </c>
      <c r="S120">
        <v>234</v>
      </c>
    </row>
    <row r="121" spans="2:19">
      <c r="B121" s="5">
        <f>(D121-D120)/(C121-C120)</f>
        <v>-2.9350318471327794</v>
      </c>
      <c r="C121" s="2">
        <v>0.123958333333333</v>
      </c>
      <c r="D121" s="4">
        <f t="shared" si="2"/>
        <v>0.16203821656050954</v>
      </c>
      <c r="E121">
        <v>212</v>
      </c>
      <c r="P121" s="5">
        <f>(R121-R120)/(Q121-Q120)</f>
        <v>-3.1441610738244417</v>
      </c>
      <c r="Q121" s="2">
        <v>0.123958333333333</v>
      </c>
      <c r="R121" s="4">
        <f t="shared" si="3"/>
        <v>0.18832214765100672</v>
      </c>
      <c r="S121">
        <v>230</v>
      </c>
    </row>
    <row r="122" spans="2:19">
      <c r="B122" s="5">
        <f>(D122-D121)/(C122-C121)</f>
        <v>-2.9350318471328185</v>
      </c>
      <c r="C122" s="2">
        <v>0.125</v>
      </c>
      <c r="D122" s="4">
        <f t="shared" si="2"/>
        <v>0.15898089171974522</v>
      </c>
      <c r="E122">
        <v>208</v>
      </c>
      <c r="P122" s="5">
        <f>(R122-R121)/(Q122-Q121)</f>
        <v>-3.14416107382451</v>
      </c>
      <c r="Q122" s="2">
        <v>0.125</v>
      </c>
      <c r="R122" s="4">
        <f t="shared" si="3"/>
        <v>0.18504697986577182</v>
      </c>
      <c r="S122">
        <v>226</v>
      </c>
    </row>
    <row r="123" spans="2:19">
      <c r="B123" s="5">
        <f>(D123-D122)/(C123-C122)</f>
        <v>-3.6687898089195556</v>
      </c>
      <c r="C123" s="2">
        <v>0.126041666666666</v>
      </c>
      <c r="D123" s="4">
        <f t="shared" si="2"/>
        <v>0.15515923566878981</v>
      </c>
      <c r="E123">
        <v>203</v>
      </c>
      <c r="P123" s="5">
        <f>(R123-R122)/(Q123-Q122)</f>
        <v>-3.1441610738275263</v>
      </c>
      <c r="Q123" s="2">
        <v>0.126041666666666</v>
      </c>
      <c r="R123" s="4">
        <f t="shared" si="3"/>
        <v>0.18177181208053692</v>
      </c>
      <c r="S123">
        <v>222</v>
      </c>
    </row>
    <row r="124" spans="2:19">
      <c r="B124" s="5">
        <f>(D124-D123)/(C124-C123)</f>
        <v>-2.9350318471328452</v>
      </c>
      <c r="C124" s="2">
        <v>0.12708333333333299</v>
      </c>
      <c r="D124" s="4">
        <f t="shared" si="2"/>
        <v>0.15210191082802546</v>
      </c>
      <c r="E124">
        <v>199</v>
      </c>
      <c r="P124" s="5">
        <f>(R124-R123)/(Q124-Q123)</f>
        <v>-3.9302013422806246</v>
      </c>
      <c r="Q124" s="2">
        <v>0.12708333333333299</v>
      </c>
      <c r="R124" s="4">
        <f t="shared" si="3"/>
        <v>0.1776778523489933</v>
      </c>
      <c r="S124">
        <v>217</v>
      </c>
    </row>
    <row r="125" spans="2:19">
      <c r="B125" s="5">
        <f>(D125-D124)/(C125-C124)</f>
        <v>-2.9350318471328185</v>
      </c>
      <c r="C125" s="2">
        <v>0.12812499999999999</v>
      </c>
      <c r="D125" s="4">
        <f t="shared" si="2"/>
        <v>0.14904458598726114</v>
      </c>
      <c r="E125">
        <v>195</v>
      </c>
      <c r="P125" s="5">
        <f>(R125-R124)/(Q125-Q124)</f>
        <v>-3.14416107382451</v>
      </c>
      <c r="Q125" s="2">
        <v>0.12812499999999999</v>
      </c>
      <c r="R125" s="4">
        <f t="shared" si="3"/>
        <v>0.1744026845637584</v>
      </c>
      <c r="S125">
        <v>213</v>
      </c>
    </row>
    <row r="126" spans="2:19">
      <c r="B126" s="5">
        <f>(D126-D125)/(C126-C125)</f>
        <v>-2.9350318471355825</v>
      </c>
      <c r="C126" s="2">
        <v>0.12916666666666601</v>
      </c>
      <c r="D126" s="4">
        <f t="shared" si="2"/>
        <v>0.14598726114649679</v>
      </c>
      <c r="E126">
        <v>191</v>
      </c>
      <c r="P126" s="5">
        <f>(R126-R125)/(Q126-Q125)</f>
        <v>-3.1441610738274424</v>
      </c>
      <c r="Q126" s="2">
        <v>0.12916666666666601</v>
      </c>
      <c r="R126" s="4">
        <f t="shared" si="3"/>
        <v>0.1711275167785235</v>
      </c>
      <c r="S126">
        <v>209</v>
      </c>
    </row>
    <row r="127" spans="2:19">
      <c r="B127" s="5">
        <f>(D127-D126)/(C127-C126)</f>
        <v>-2.9350318471328185</v>
      </c>
      <c r="C127" s="2">
        <v>0.13020833333333301</v>
      </c>
      <c r="D127" s="4">
        <f t="shared" si="2"/>
        <v>0.14292993630573247</v>
      </c>
      <c r="E127">
        <v>187</v>
      </c>
      <c r="P127" s="5">
        <f>(R127-R126)/(Q127-Q126)</f>
        <v>-3.1441610738245367</v>
      </c>
      <c r="Q127" s="2">
        <v>0.13020833333333301</v>
      </c>
      <c r="R127" s="4">
        <f t="shared" si="3"/>
        <v>0.16785234899328857</v>
      </c>
      <c r="S127">
        <v>205</v>
      </c>
    </row>
    <row r="128" spans="2:19">
      <c r="B128" s="5">
        <f>(D128-D127)/(C128-C127)</f>
        <v>-3.6687898089160367</v>
      </c>
      <c r="C128" s="2">
        <v>0.13125000000000001</v>
      </c>
      <c r="D128" s="4">
        <f t="shared" si="2"/>
        <v>0.13910828025477706</v>
      </c>
      <c r="E128">
        <v>182</v>
      </c>
      <c r="P128" s="5">
        <f>(R128-R127)/(Q128-Q127)</f>
        <v>-3.9302013422806246</v>
      </c>
      <c r="Q128" s="2">
        <v>0.13125000000000001</v>
      </c>
      <c r="R128" s="4">
        <f t="shared" si="3"/>
        <v>0.16375838926174496</v>
      </c>
      <c r="S128">
        <v>200</v>
      </c>
    </row>
    <row r="129" spans="2:19">
      <c r="B129" s="5">
        <f>(D129-D128)/(C129-C128)</f>
        <v>-2.935031847135634</v>
      </c>
      <c r="C129" s="2">
        <v>0.132291666666666</v>
      </c>
      <c r="D129" s="4">
        <f t="shared" si="2"/>
        <v>0.13605095541401274</v>
      </c>
      <c r="E129">
        <v>178</v>
      </c>
      <c r="P129" s="5">
        <f>(R129-R128)/(Q129-Q128)</f>
        <v>-3.1441610738275263</v>
      </c>
      <c r="Q129" s="2">
        <v>0.132291666666666</v>
      </c>
      <c r="R129" s="4">
        <f t="shared" si="3"/>
        <v>0.16048322147651006</v>
      </c>
      <c r="S129">
        <v>196</v>
      </c>
    </row>
    <row r="130" spans="2:19">
      <c r="B130" s="5">
        <f>(D130-D129)/(C130-C129)</f>
        <v>-2.9350318471328452</v>
      </c>
      <c r="C130" s="2">
        <v>0.133333333333333</v>
      </c>
      <c r="D130" s="4">
        <f t="shared" si="2"/>
        <v>0.13299363057324839</v>
      </c>
      <c r="E130">
        <v>174</v>
      </c>
      <c r="P130" s="5">
        <f>(R130-R129)/(Q130-Q129)</f>
        <v>-3.14416107382451</v>
      </c>
      <c r="Q130" s="2">
        <v>0.133333333333333</v>
      </c>
      <c r="R130" s="4">
        <f t="shared" si="3"/>
        <v>0.15720805369127516</v>
      </c>
      <c r="S130">
        <v>192</v>
      </c>
    </row>
    <row r="131" spans="2:19">
      <c r="B131" s="5">
        <f>(D131-D130)/(C131-C130)</f>
        <v>-2.9350318471328185</v>
      </c>
      <c r="C131" s="2">
        <v>0.13437499999999999</v>
      </c>
      <c r="D131" s="4">
        <f>(0.24*E131)/314</f>
        <v>0.12993630573248408</v>
      </c>
      <c r="E131">
        <v>170</v>
      </c>
      <c r="P131" s="5">
        <f>(R131-R130)/(Q131-Q130)</f>
        <v>-3.14416107382451</v>
      </c>
      <c r="Q131" s="2">
        <v>0.13437499999999999</v>
      </c>
      <c r="R131" s="4">
        <f t="shared" ref="R131:R143" si="4">(0.244*S131)/298</f>
        <v>0.15393288590604026</v>
      </c>
      <c r="S131">
        <v>188</v>
      </c>
    </row>
    <row r="132" spans="2:19">
      <c r="B132" s="5">
        <f>(D132-D131)/(C132-C131)</f>
        <v>-2.9350318471356607</v>
      </c>
      <c r="C132" s="2">
        <v>0.13541666666666599</v>
      </c>
      <c r="D132" s="4">
        <f>(0.24*E132)/314</f>
        <v>0.12687898089171973</v>
      </c>
      <c r="E132">
        <v>166</v>
      </c>
      <c r="P132" s="5">
        <f>(R132-R131)/(Q132-Q131)</f>
        <v>-3.1441610738275263</v>
      </c>
      <c r="Q132" s="2">
        <v>0.13541666666666599</v>
      </c>
      <c r="R132" s="4">
        <f t="shared" si="4"/>
        <v>0.15065771812080536</v>
      </c>
      <c r="S132">
        <v>184</v>
      </c>
    </row>
    <row r="133" spans="2:19">
      <c r="B133" s="5">
        <f>(D133-D132)/(C133-C132)</f>
        <v>-3.6687898089160234</v>
      </c>
      <c r="C133" s="2">
        <v>0.13645833333333299</v>
      </c>
      <c r="D133" s="4">
        <f>(0.24*E133)/314</f>
        <v>0.12305732484076433</v>
      </c>
      <c r="E133">
        <v>161</v>
      </c>
      <c r="P133" s="5">
        <f>(R133-R132)/(Q133-Q132)</f>
        <v>-3.9302013422806246</v>
      </c>
      <c r="Q133" s="2">
        <v>0.13645833333333299</v>
      </c>
      <c r="R133" s="4">
        <f t="shared" si="4"/>
        <v>0.14656375838926175</v>
      </c>
      <c r="S133">
        <v>179</v>
      </c>
    </row>
    <row r="134" spans="2:19">
      <c r="B134" s="5">
        <f>(D134-D133)/(C134-C133)</f>
        <v>-2.9350318471327537</v>
      </c>
      <c r="C134" s="2">
        <v>0.13750000000000001</v>
      </c>
      <c r="D134" s="4">
        <f>(0.24*E134)/314</f>
        <v>0.12</v>
      </c>
      <c r="E134">
        <v>157</v>
      </c>
      <c r="P134" s="5">
        <f>(R134-R133)/(Q134-Q133)</f>
        <v>-3.1441610738244532</v>
      </c>
      <c r="Q134" s="2">
        <v>0.13750000000000001</v>
      </c>
      <c r="R134" s="4">
        <f t="shared" si="4"/>
        <v>0.14328859060402682</v>
      </c>
      <c r="S134">
        <v>175</v>
      </c>
    </row>
    <row r="135" spans="2:19">
      <c r="B135" s="5">
        <f>(D135-D134)/(C135-C134)</f>
        <v>-2.9350318471356474</v>
      </c>
      <c r="C135" s="2">
        <v>0.13854166666666601</v>
      </c>
      <c r="D135" s="4">
        <f>(0.24*E135)/314</f>
        <v>0.11694267515923566</v>
      </c>
      <c r="E135">
        <v>153</v>
      </c>
      <c r="P135" s="5">
        <f>(R135-R134)/(Q135-Q134)</f>
        <v>-3.1441610738275263</v>
      </c>
      <c r="Q135" s="2">
        <v>0.13854166666666601</v>
      </c>
      <c r="R135" s="4">
        <f t="shared" si="4"/>
        <v>0.14001342281879192</v>
      </c>
      <c r="S135">
        <v>171</v>
      </c>
    </row>
    <row r="136" spans="2:19">
      <c r="B136" s="5">
        <f>(D136-D135)/(C136-C135)</f>
        <v>-2.9350318471328318</v>
      </c>
      <c r="C136" s="2">
        <v>0.139583333333333</v>
      </c>
      <c r="D136" s="4">
        <f>(0.24*E136)/314</f>
        <v>0.11388535031847133</v>
      </c>
      <c r="E136">
        <v>149</v>
      </c>
      <c r="P136" s="5">
        <f>(R136-R135)/(Q136-Q135)</f>
        <v>-3.1441610738244834</v>
      </c>
      <c r="Q136" s="2">
        <v>0.139583333333333</v>
      </c>
      <c r="R136" s="4">
        <f t="shared" si="4"/>
        <v>0.13673825503355705</v>
      </c>
      <c r="S136">
        <v>167</v>
      </c>
    </row>
    <row r="137" spans="2:19">
      <c r="B137" s="5">
        <f>(D137-D136)/(C137-C136)</f>
        <v>-2.9350318471328318</v>
      </c>
      <c r="C137" s="2">
        <v>0.140625</v>
      </c>
      <c r="D137" s="4">
        <f>(0.24*E137)/314</f>
        <v>0.110828025477707</v>
      </c>
      <c r="E137">
        <v>145</v>
      </c>
      <c r="P137" s="5">
        <f>(R137-R136)/(Q137-Q136)</f>
        <v>-3.9302013422806512</v>
      </c>
      <c r="Q137" s="2">
        <v>0.140625</v>
      </c>
      <c r="R137" s="4">
        <f t="shared" si="4"/>
        <v>0.13264429530201341</v>
      </c>
      <c r="S137">
        <v>162</v>
      </c>
    </row>
    <row r="138" spans="2:19">
      <c r="B138" s="5">
        <f>(D138-D137)/(C138-C137)</f>
        <v>-2.9350318471356474</v>
      </c>
      <c r="C138" s="2">
        <v>0.141666666666666</v>
      </c>
      <c r="D138" s="4">
        <f>(0.24*E138)/314</f>
        <v>0.10777070063694266</v>
      </c>
      <c r="E138">
        <v>141</v>
      </c>
      <c r="P138" s="5">
        <f>(R138-R137)/(Q138-Q137)</f>
        <v>-3.1441610738275263</v>
      </c>
      <c r="Q138" s="2">
        <v>0.141666666666666</v>
      </c>
      <c r="R138" s="4">
        <f t="shared" si="4"/>
        <v>0.12936912751677851</v>
      </c>
      <c r="S138">
        <v>158</v>
      </c>
    </row>
    <row r="139" spans="2:19">
      <c r="B139" s="5">
        <f>(D139-D138)/(C139-C138)</f>
        <v>-2.9350318471328318</v>
      </c>
      <c r="C139" s="2">
        <v>0.14270833333333299</v>
      </c>
      <c r="D139" s="4">
        <f>(0.24*E139)/314</f>
        <v>0.10471337579617833</v>
      </c>
      <c r="E139">
        <v>137</v>
      </c>
      <c r="P139" s="5">
        <f>(R139-R138)/(Q139-Q138)</f>
        <v>-3.1441610738244834</v>
      </c>
      <c r="Q139" s="2">
        <v>0.14270833333333299</v>
      </c>
      <c r="R139" s="4">
        <f t="shared" si="4"/>
        <v>0.12609395973154364</v>
      </c>
      <c r="S139">
        <v>154</v>
      </c>
    </row>
    <row r="140" spans="2:19">
      <c r="P140" s="5">
        <f>(R140-R139)/(Q140-Q139)</f>
        <v>-3.14416107382451</v>
      </c>
      <c r="Q140" s="2">
        <v>0.14374999999999999</v>
      </c>
      <c r="R140" s="4">
        <f t="shared" si="4"/>
        <v>0.12281879194630874</v>
      </c>
      <c r="S140">
        <v>150</v>
      </c>
    </row>
    <row r="141" spans="2:19">
      <c r="P141" s="5">
        <f>(R141-R140)/(Q141-Q140)</f>
        <v>-3.1441610738274424</v>
      </c>
      <c r="Q141" s="2">
        <v>0.14479166666666601</v>
      </c>
      <c r="R141" s="4">
        <f t="shared" si="4"/>
        <v>0.11954362416107384</v>
      </c>
      <c r="S141">
        <v>146</v>
      </c>
    </row>
    <row r="142" spans="2:19">
      <c r="P142" s="5">
        <f>(R142-R141)/(Q142-Q141)</f>
        <v>-3.9302013422806645</v>
      </c>
      <c r="Q142" s="2">
        <v>0.14583333333333301</v>
      </c>
      <c r="R142" s="4">
        <f t="shared" si="4"/>
        <v>0.11544966442953018</v>
      </c>
      <c r="S142">
        <v>141</v>
      </c>
    </row>
    <row r="143" spans="2:19">
      <c r="P143" s="5">
        <f>(R143-R142)/(Q143-Q142)</f>
        <v>-3.1441610738244967</v>
      </c>
      <c r="Q143" s="2">
        <v>0.14687500000000001</v>
      </c>
      <c r="R143" s="4">
        <f t="shared" si="4"/>
        <v>0.1121744966442953</v>
      </c>
      <c r="S143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2024-05-27T20:47:41Z</dcterms:created>
  <dcterms:modified xsi:type="dcterms:W3CDTF">2024-05-29T11:35:00Z</dcterms:modified>
  <cp:category/>
  <cp:contentStatus/>
</cp:coreProperties>
</file>