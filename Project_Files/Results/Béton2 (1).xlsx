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/>
  <xr:revisionPtr revIDLastSave="0" documentId="8_{F94DD554-4288-4202-B2B3-F593AD5F85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O4" i="1" s="1"/>
  <c r="Q5" i="1"/>
  <c r="O5" i="1" s="1"/>
  <c r="Q6" i="1"/>
  <c r="O6" i="1" s="1"/>
  <c r="Q7" i="1"/>
  <c r="O7" i="1" s="1"/>
  <c r="Q8" i="1"/>
  <c r="O8" i="1" s="1"/>
  <c r="Q9" i="1"/>
  <c r="O9" i="1" s="1"/>
  <c r="Q10" i="1"/>
  <c r="O10" i="1" s="1"/>
  <c r="Q11" i="1"/>
  <c r="O11" i="1" s="1"/>
  <c r="Q12" i="1"/>
  <c r="O12" i="1" s="1"/>
  <c r="Q13" i="1"/>
  <c r="O13" i="1" s="1"/>
  <c r="Q14" i="1"/>
  <c r="O14" i="1" s="1"/>
  <c r="Q15" i="1"/>
  <c r="O15" i="1" s="1"/>
  <c r="Q16" i="1"/>
  <c r="O16" i="1" s="1"/>
  <c r="Q17" i="1"/>
  <c r="O17" i="1" s="1"/>
  <c r="Q18" i="1"/>
  <c r="O18" i="1" s="1"/>
  <c r="Q19" i="1"/>
  <c r="O19" i="1" s="1"/>
  <c r="Q20" i="1"/>
  <c r="O20" i="1" s="1"/>
  <c r="Q21" i="1"/>
  <c r="O21" i="1" s="1"/>
  <c r="Q22" i="1"/>
  <c r="O22" i="1" s="1"/>
  <c r="Q23" i="1"/>
  <c r="O23" i="1" s="1"/>
  <c r="Q24" i="1"/>
  <c r="O24" i="1" s="1"/>
  <c r="Q25" i="1"/>
  <c r="O25" i="1" s="1"/>
  <c r="Q26" i="1"/>
  <c r="O26" i="1" s="1"/>
  <c r="Q27" i="1"/>
  <c r="O27" i="1" s="1"/>
  <c r="Q28" i="1"/>
  <c r="O28" i="1" s="1"/>
  <c r="Q29" i="1"/>
  <c r="O29" i="1" s="1"/>
  <c r="Q30" i="1"/>
  <c r="O30" i="1" s="1"/>
  <c r="Q31" i="1"/>
  <c r="O31" i="1" s="1"/>
  <c r="Q32" i="1"/>
  <c r="O32" i="1" s="1"/>
  <c r="Q33" i="1"/>
  <c r="O33" i="1" s="1"/>
  <c r="Q34" i="1"/>
  <c r="O34" i="1" s="1"/>
  <c r="Q35" i="1"/>
  <c r="O35" i="1" s="1"/>
  <c r="Q36" i="1"/>
  <c r="O36" i="1" s="1"/>
  <c r="Q37" i="1"/>
  <c r="O37" i="1" s="1"/>
  <c r="Q38" i="1"/>
  <c r="O38" i="1" s="1"/>
  <c r="Q39" i="1"/>
  <c r="O39" i="1" s="1"/>
  <c r="Q40" i="1"/>
  <c r="O40" i="1" s="1"/>
  <c r="Q41" i="1"/>
  <c r="O41" i="1" s="1"/>
  <c r="Q42" i="1"/>
  <c r="O42" i="1" s="1"/>
  <c r="Q43" i="1"/>
  <c r="O43" i="1" s="1"/>
  <c r="Q44" i="1"/>
  <c r="O44" i="1" s="1"/>
  <c r="Q45" i="1"/>
  <c r="O45" i="1" s="1"/>
  <c r="Q46" i="1"/>
  <c r="O46" i="1" s="1"/>
  <c r="Q47" i="1"/>
  <c r="O47" i="1" s="1"/>
  <c r="Q48" i="1"/>
  <c r="O48" i="1" s="1"/>
  <c r="Q49" i="1"/>
  <c r="O49" i="1" s="1"/>
  <c r="Q50" i="1"/>
  <c r="O50" i="1" s="1"/>
  <c r="Q51" i="1"/>
  <c r="O51" i="1" s="1"/>
  <c r="Q52" i="1"/>
  <c r="O52" i="1" s="1"/>
  <c r="Q53" i="1"/>
  <c r="O53" i="1" s="1"/>
  <c r="Q54" i="1"/>
  <c r="O54" i="1" s="1"/>
  <c r="Q55" i="1"/>
  <c r="O55" i="1" s="1"/>
  <c r="Q56" i="1"/>
  <c r="O56" i="1" s="1"/>
  <c r="Q57" i="1"/>
  <c r="O57" i="1" s="1"/>
  <c r="Q58" i="1"/>
  <c r="O58" i="1" s="1"/>
  <c r="Q59" i="1"/>
  <c r="O59" i="1" s="1"/>
  <c r="Q60" i="1"/>
  <c r="O60" i="1" s="1"/>
  <c r="Q61" i="1"/>
  <c r="O61" i="1" s="1"/>
  <c r="Q62" i="1"/>
  <c r="O62" i="1" s="1"/>
  <c r="Q63" i="1"/>
  <c r="O63" i="1" s="1"/>
  <c r="Q64" i="1"/>
  <c r="O64" i="1" s="1"/>
  <c r="Q65" i="1"/>
  <c r="O65" i="1" s="1"/>
  <c r="Q66" i="1"/>
  <c r="O66" i="1" s="1"/>
  <c r="Q67" i="1"/>
  <c r="O67" i="1" s="1"/>
  <c r="Q68" i="1"/>
  <c r="O68" i="1" s="1"/>
  <c r="Q69" i="1"/>
  <c r="O69" i="1" s="1"/>
  <c r="Q70" i="1"/>
  <c r="O70" i="1" s="1"/>
  <c r="Q71" i="1"/>
  <c r="O71" i="1" s="1"/>
  <c r="Q72" i="1"/>
  <c r="O72" i="1" s="1"/>
  <c r="Q73" i="1"/>
  <c r="O73" i="1" s="1"/>
  <c r="Q74" i="1"/>
  <c r="O74" i="1" s="1"/>
  <c r="Q75" i="1"/>
  <c r="O75" i="1" s="1"/>
  <c r="Q76" i="1"/>
  <c r="O76" i="1" s="1"/>
  <c r="Q77" i="1"/>
  <c r="O77" i="1" s="1"/>
  <c r="Q78" i="1"/>
  <c r="O78" i="1" s="1"/>
  <c r="Q79" i="1"/>
  <c r="O79" i="1" s="1"/>
  <c r="Q80" i="1"/>
  <c r="O80" i="1" s="1"/>
  <c r="Q81" i="1"/>
  <c r="O81" i="1" s="1"/>
  <c r="Q82" i="1"/>
  <c r="O82" i="1" s="1"/>
  <c r="Q83" i="1"/>
  <c r="O83" i="1" s="1"/>
  <c r="Q84" i="1"/>
  <c r="O84" i="1" s="1"/>
  <c r="Q85" i="1"/>
  <c r="O85" i="1" s="1"/>
  <c r="Q86" i="1"/>
  <c r="O86" i="1" s="1"/>
  <c r="Q87" i="1"/>
  <c r="O87" i="1" s="1"/>
  <c r="Q88" i="1"/>
  <c r="O88" i="1" s="1"/>
  <c r="Q89" i="1"/>
  <c r="O89" i="1" s="1"/>
  <c r="Q90" i="1"/>
  <c r="O90" i="1" s="1"/>
  <c r="Q91" i="1"/>
  <c r="O91" i="1" s="1"/>
  <c r="Q92" i="1"/>
  <c r="O92" i="1" s="1"/>
  <c r="Q93" i="1"/>
  <c r="O93" i="1" s="1"/>
  <c r="Q94" i="1"/>
  <c r="O94" i="1" s="1"/>
  <c r="Q95" i="1"/>
  <c r="O95" i="1" s="1"/>
  <c r="Q96" i="1"/>
  <c r="O96" i="1" s="1"/>
  <c r="Q97" i="1"/>
  <c r="O97" i="1" s="1"/>
  <c r="Q98" i="1"/>
  <c r="O98" i="1" s="1"/>
  <c r="Q99" i="1"/>
  <c r="O99" i="1" s="1"/>
  <c r="Q100" i="1"/>
  <c r="O100" i="1" s="1"/>
  <c r="Q101" i="1"/>
  <c r="O101" i="1" s="1"/>
  <c r="Q102" i="1"/>
  <c r="O102" i="1" s="1"/>
  <c r="Q103" i="1"/>
  <c r="O103" i="1" s="1"/>
  <c r="Q104" i="1"/>
  <c r="O104" i="1" s="1"/>
  <c r="Q105" i="1"/>
  <c r="O105" i="1" s="1"/>
  <c r="Q106" i="1"/>
  <c r="O106" i="1" s="1"/>
  <c r="Q107" i="1"/>
  <c r="O107" i="1" s="1"/>
  <c r="Q108" i="1"/>
  <c r="O108" i="1" s="1"/>
  <c r="Q109" i="1"/>
  <c r="O109" i="1" s="1"/>
  <c r="Q110" i="1"/>
  <c r="O110" i="1" s="1"/>
  <c r="Q111" i="1"/>
  <c r="O111" i="1" s="1"/>
  <c r="Q112" i="1"/>
  <c r="O112" i="1" s="1"/>
  <c r="Q113" i="1"/>
  <c r="O113" i="1" s="1"/>
  <c r="Q114" i="1"/>
  <c r="O114" i="1" s="1"/>
  <c r="Q115" i="1"/>
  <c r="O115" i="1" s="1"/>
  <c r="Q116" i="1"/>
  <c r="O116" i="1" s="1"/>
  <c r="Q117" i="1"/>
  <c r="O117" i="1" s="1"/>
  <c r="Q118" i="1"/>
  <c r="O118" i="1" s="1"/>
  <c r="Q119" i="1"/>
  <c r="O119" i="1" s="1"/>
  <c r="Q120" i="1"/>
  <c r="O120" i="1" s="1"/>
  <c r="Q121" i="1"/>
  <c r="O121" i="1" s="1"/>
  <c r="Q122" i="1"/>
  <c r="O122" i="1" s="1"/>
  <c r="Q123" i="1"/>
  <c r="O123" i="1" s="1"/>
  <c r="Q124" i="1"/>
  <c r="O124" i="1" s="1"/>
  <c r="Q125" i="1"/>
  <c r="O125" i="1" s="1"/>
  <c r="Q126" i="1"/>
  <c r="O126" i="1" s="1"/>
  <c r="Q127" i="1"/>
  <c r="O127" i="1" s="1"/>
  <c r="Q128" i="1"/>
  <c r="O128" i="1" s="1"/>
  <c r="Q129" i="1"/>
  <c r="O129" i="1" s="1"/>
  <c r="Q130" i="1"/>
  <c r="O130" i="1" s="1"/>
  <c r="Q131" i="1"/>
  <c r="O131" i="1" s="1"/>
  <c r="Q132" i="1"/>
  <c r="O132" i="1" s="1"/>
  <c r="Q133" i="1"/>
  <c r="O133" i="1" s="1"/>
  <c r="Q134" i="1"/>
  <c r="O134" i="1" s="1"/>
  <c r="Q135" i="1"/>
  <c r="O135" i="1" s="1"/>
  <c r="Q136" i="1"/>
  <c r="O136" i="1" s="1"/>
  <c r="Q137" i="1"/>
  <c r="O137" i="1" s="1"/>
  <c r="Q138" i="1"/>
  <c r="O138" i="1" s="1"/>
  <c r="Q139" i="1"/>
  <c r="O139" i="1" s="1"/>
  <c r="Q140" i="1"/>
  <c r="O140" i="1" s="1"/>
  <c r="Q141" i="1"/>
  <c r="O141" i="1" s="1"/>
  <c r="Q142" i="1"/>
  <c r="O142" i="1" s="1"/>
  <c r="Q143" i="1"/>
  <c r="O143" i="1" s="1"/>
  <c r="Q144" i="1"/>
  <c r="O144" i="1" s="1"/>
  <c r="Q145" i="1"/>
  <c r="O145" i="1" s="1"/>
  <c r="Q146" i="1"/>
  <c r="O146" i="1" s="1"/>
  <c r="D2" i="1"/>
  <c r="Q2" i="1"/>
  <c r="D4" i="1"/>
  <c r="D3" i="1"/>
  <c r="D5" i="1"/>
  <c r="B5" i="1" s="1"/>
  <c r="D6" i="1"/>
  <c r="B6" i="1" s="1"/>
  <c r="D7" i="1"/>
  <c r="B7" i="1" s="1"/>
  <c r="D8" i="1"/>
  <c r="B8" i="1" s="1"/>
  <c r="D9" i="1"/>
  <c r="B9" i="1" s="1"/>
  <c r="D10" i="1"/>
  <c r="B10" i="1" s="1"/>
  <c r="D11" i="1"/>
  <c r="B11" i="1" s="1"/>
  <c r="D12" i="1"/>
  <c r="B12" i="1" s="1"/>
  <c r="D13" i="1"/>
  <c r="B13" i="1" s="1"/>
  <c r="D14" i="1"/>
  <c r="B14" i="1" s="1"/>
  <c r="D15" i="1"/>
  <c r="B15" i="1" s="1"/>
  <c r="D16" i="1"/>
  <c r="B16" i="1" s="1"/>
  <c r="D17" i="1"/>
  <c r="B17" i="1" s="1"/>
  <c r="D18" i="1"/>
  <c r="B18" i="1" s="1"/>
  <c r="D19" i="1"/>
  <c r="B19" i="1" s="1"/>
  <c r="D20" i="1"/>
  <c r="B20" i="1" s="1"/>
  <c r="D21" i="1"/>
  <c r="B21" i="1" s="1"/>
  <c r="D22" i="1"/>
  <c r="B22" i="1" s="1"/>
  <c r="D23" i="1"/>
  <c r="B23" i="1" s="1"/>
  <c r="D24" i="1"/>
  <c r="B24" i="1" s="1"/>
  <c r="D25" i="1"/>
  <c r="B25" i="1" s="1"/>
  <c r="D26" i="1"/>
  <c r="B26" i="1" s="1"/>
  <c r="D27" i="1"/>
  <c r="B27" i="1" s="1"/>
  <c r="D28" i="1"/>
  <c r="B28" i="1" s="1"/>
  <c r="D29" i="1"/>
  <c r="B29" i="1" s="1"/>
  <c r="D30" i="1"/>
  <c r="B30" i="1" s="1"/>
  <c r="D31" i="1"/>
  <c r="B31" i="1" s="1"/>
  <c r="D32" i="1"/>
  <c r="B32" i="1" s="1"/>
  <c r="D33" i="1"/>
  <c r="B33" i="1" s="1"/>
  <c r="D34" i="1"/>
  <c r="B34" i="1" s="1"/>
  <c r="D35" i="1"/>
  <c r="B35" i="1" s="1"/>
  <c r="D36" i="1"/>
  <c r="B36" i="1" s="1"/>
  <c r="D37" i="1"/>
  <c r="B37" i="1" s="1"/>
  <c r="D38" i="1"/>
  <c r="B38" i="1" s="1"/>
  <c r="D39" i="1"/>
  <c r="B39" i="1" s="1"/>
  <c r="D40" i="1"/>
  <c r="B40" i="1" s="1"/>
  <c r="D41" i="1"/>
  <c r="B41" i="1" s="1"/>
  <c r="D42" i="1"/>
  <c r="B42" i="1" s="1"/>
  <c r="D43" i="1"/>
  <c r="B43" i="1" s="1"/>
  <c r="D44" i="1"/>
  <c r="B44" i="1" s="1"/>
  <c r="D45" i="1"/>
  <c r="B45" i="1" s="1"/>
  <c r="D46" i="1"/>
  <c r="B46" i="1" s="1"/>
  <c r="D47" i="1"/>
  <c r="B47" i="1" s="1"/>
  <c r="D48" i="1"/>
  <c r="B48" i="1" s="1"/>
  <c r="D49" i="1"/>
  <c r="B49" i="1" s="1"/>
  <c r="D50" i="1"/>
  <c r="B50" i="1" s="1"/>
  <c r="D51" i="1"/>
  <c r="B51" i="1" s="1"/>
  <c r="D52" i="1"/>
  <c r="B52" i="1" s="1"/>
  <c r="D53" i="1"/>
  <c r="B53" i="1" s="1"/>
  <c r="D54" i="1"/>
  <c r="B54" i="1" s="1"/>
  <c r="D55" i="1"/>
  <c r="B55" i="1" s="1"/>
  <c r="D56" i="1"/>
  <c r="B56" i="1" s="1"/>
  <c r="D57" i="1"/>
  <c r="B57" i="1" s="1"/>
  <c r="D58" i="1"/>
  <c r="B58" i="1" s="1"/>
  <c r="D59" i="1"/>
  <c r="B59" i="1" s="1"/>
  <c r="D60" i="1"/>
  <c r="B60" i="1" s="1"/>
  <c r="D61" i="1"/>
  <c r="B61" i="1" s="1"/>
  <c r="D62" i="1"/>
  <c r="B62" i="1" s="1"/>
  <c r="D63" i="1"/>
  <c r="B63" i="1" s="1"/>
  <c r="D64" i="1"/>
  <c r="B64" i="1" s="1"/>
  <c r="D65" i="1"/>
  <c r="B65" i="1" s="1"/>
  <c r="D66" i="1"/>
  <c r="B66" i="1" s="1"/>
  <c r="D67" i="1"/>
  <c r="B67" i="1" s="1"/>
  <c r="D68" i="1"/>
  <c r="B68" i="1" s="1"/>
  <c r="D69" i="1"/>
  <c r="B69" i="1" s="1"/>
  <c r="D70" i="1"/>
  <c r="B70" i="1" s="1"/>
  <c r="D71" i="1"/>
  <c r="B71" i="1" s="1"/>
  <c r="D72" i="1"/>
  <c r="B72" i="1" s="1"/>
  <c r="D73" i="1"/>
  <c r="B73" i="1" s="1"/>
  <c r="D74" i="1"/>
  <c r="B74" i="1" s="1"/>
  <c r="D75" i="1"/>
  <c r="B75" i="1" s="1"/>
  <c r="D76" i="1"/>
  <c r="B76" i="1" s="1"/>
  <c r="D77" i="1"/>
  <c r="B77" i="1" s="1"/>
  <c r="D78" i="1"/>
  <c r="B78" i="1" s="1"/>
  <c r="D79" i="1"/>
  <c r="B79" i="1" s="1"/>
  <c r="D80" i="1"/>
  <c r="B80" i="1" s="1"/>
  <c r="D81" i="1"/>
  <c r="B81" i="1" s="1"/>
  <c r="D82" i="1"/>
  <c r="B82" i="1" s="1"/>
  <c r="D83" i="1"/>
  <c r="B83" i="1" s="1"/>
  <c r="D84" i="1"/>
  <c r="B84" i="1" s="1"/>
  <c r="D85" i="1"/>
  <c r="B85" i="1" s="1"/>
  <c r="D86" i="1"/>
  <c r="B86" i="1" s="1"/>
  <c r="D87" i="1"/>
  <c r="B87" i="1" s="1"/>
  <c r="D88" i="1"/>
  <c r="B88" i="1" s="1"/>
  <c r="D89" i="1"/>
  <c r="B89" i="1" s="1"/>
  <c r="D90" i="1"/>
  <c r="B90" i="1" s="1"/>
  <c r="D91" i="1"/>
  <c r="B91" i="1" s="1"/>
  <c r="D92" i="1"/>
  <c r="B92" i="1" s="1"/>
  <c r="D93" i="1"/>
  <c r="B93" i="1" s="1"/>
  <c r="D94" i="1"/>
  <c r="B94" i="1" s="1"/>
  <c r="D95" i="1"/>
  <c r="B95" i="1" s="1"/>
  <c r="D96" i="1"/>
  <c r="B96" i="1" s="1"/>
  <c r="D97" i="1"/>
  <c r="B97" i="1" s="1"/>
  <c r="D98" i="1"/>
  <c r="B98" i="1" s="1"/>
  <c r="D99" i="1"/>
  <c r="B99" i="1" s="1"/>
  <c r="D100" i="1"/>
  <c r="B100" i="1" s="1"/>
  <c r="D101" i="1"/>
  <c r="B101" i="1" s="1"/>
  <c r="D102" i="1"/>
  <c r="B102" i="1" s="1"/>
  <c r="D103" i="1"/>
  <c r="B103" i="1" s="1"/>
  <c r="D104" i="1"/>
  <c r="B104" i="1" s="1"/>
  <c r="D105" i="1"/>
  <c r="B105" i="1" s="1"/>
  <c r="D106" i="1"/>
  <c r="B106" i="1" s="1"/>
  <c r="D107" i="1"/>
  <c r="B107" i="1" s="1"/>
  <c r="D108" i="1"/>
  <c r="B108" i="1" s="1"/>
  <c r="D109" i="1"/>
  <c r="B109" i="1" s="1"/>
  <c r="D110" i="1"/>
  <c r="B110" i="1" s="1"/>
  <c r="D111" i="1"/>
  <c r="B111" i="1" s="1"/>
  <c r="D112" i="1"/>
  <c r="B112" i="1" s="1"/>
  <c r="D113" i="1"/>
  <c r="B113" i="1" s="1"/>
  <c r="D114" i="1"/>
  <c r="B114" i="1" s="1"/>
  <c r="D115" i="1"/>
  <c r="B115" i="1" s="1"/>
  <c r="D116" i="1"/>
  <c r="B116" i="1" s="1"/>
  <c r="D117" i="1"/>
  <c r="B117" i="1" s="1"/>
  <c r="D118" i="1"/>
  <c r="B118" i="1" s="1"/>
  <c r="D119" i="1"/>
  <c r="B119" i="1" s="1"/>
  <c r="D120" i="1"/>
  <c r="B120" i="1" s="1"/>
  <c r="D121" i="1"/>
  <c r="B121" i="1" s="1"/>
  <c r="D122" i="1"/>
  <c r="B122" i="1" s="1"/>
  <c r="D123" i="1"/>
  <c r="B123" i="1" s="1"/>
  <c r="D124" i="1"/>
  <c r="B124" i="1" s="1"/>
  <c r="D125" i="1"/>
  <c r="B125" i="1" s="1"/>
  <c r="D126" i="1"/>
  <c r="B126" i="1" s="1"/>
  <c r="D127" i="1"/>
  <c r="B127" i="1" s="1"/>
  <c r="D128" i="1"/>
  <c r="B128" i="1" s="1"/>
  <c r="D129" i="1"/>
  <c r="B129" i="1" s="1"/>
  <c r="D130" i="1"/>
  <c r="B130" i="1" s="1"/>
  <c r="D131" i="1"/>
  <c r="B131" i="1" s="1"/>
  <c r="D132" i="1"/>
  <c r="B132" i="1" s="1"/>
  <c r="D133" i="1"/>
  <c r="B133" i="1" s="1"/>
  <c r="D134" i="1"/>
  <c r="B134" i="1" s="1"/>
  <c r="D135" i="1"/>
  <c r="B135" i="1" s="1"/>
  <c r="D136" i="1"/>
  <c r="B136" i="1" s="1"/>
  <c r="D137" i="1"/>
  <c r="B137" i="1" s="1"/>
  <c r="D138" i="1"/>
  <c r="B138" i="1" s="1"/>
  <c r="D139" i="1"/>
  <c r="B139" i="1" s="1"/>
  <c r="D140" i="1"/>
  <c r="B140" i="1" s="1"/>
  <c r="D141" i="1"/>
  <c r="B141" i="1" s="1"/>
  <c r="D142" i="1"/>
  <c r="B142" i="1" s="1"/>
  <c r="D143" i="1"/>
  <c r="B143" i="1" s="1"/>
  <c r="D144" i="1"/>
  <c r="B144" i="1" s="1"/>
  <c r="D145" i="1"/>
  <c r="B145" i="1" s="1"/>
  <c r="D146" i="1"/>
  <c r="B146" i="1" s="1"/>
  <c r="D147" i="1"/>
  <c r="B147" i="1" s="1"/>
  <c r="D148" i="1"/>
  <c r="B148" i="1" s="1"/>
  <c r="D149" i="1"/>
  <c r="B149" i="1" s="1"/>
  <c r="D150" i="1"/>
  <c r="B150" i="1" s="1"/>
  <c r="D151" i="1"/>
  <c r="B151" i="1" s="1"/>
  <c r="D152" i="1"/>
  <c r="B152" i="1" s="1"/>
  <c r="D153" i="1"/>
  <c r="B153" i="1" s="1"/>
  <c r="D154" i="1"/>
  <c r="B154" i="1" s="1"/>
  <c r="A6" i="1" l="1"/>
  <c r="N6" i="1"/>
  <c r="O3" i="1"/>
  <c r="N3" i="1" s="1"/>
  <c r="B4" i="1"/>
  <c r="B3" i="1"/>
  <c r="A3" i="1" s="1"/>
  <c r="N9" i="1" l="1"/>
  <c r="A9" i="1"/>
</calcChain>
</file>

<file path=xl/sharedStrings.xml><?xml version="1.0" encoding="utf-8"?>
<sst xmlns="http://schemas.openxmlformats.org/spreadsheetml/2006/main" count="14" uniqueCount="8">
  <si>
    <t>Caoutchouc</t>
  </si>
  <si>
    <t>Vitesse (m/s)</t>
  </si>
  <si>
    <t>Temps (s)</t>
  </si>
  <si>
    <t>Position (en m sur -Y)</t>
  </si>
  <si>
    <t>Cuir</t>
  </si>
  <si>
    <t>Vitesse moyenne avant rebond:</t>
  </si>
  <si>
    <t>Vitesse moyenne après rebond:</t>
  </si>
  <si>
    <t>Coefficient de restitution: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</si>
</sst>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0" xfId="0" applyFont="1" applyFill="1"/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Cuir-Béton: Vitesse en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Feuil1!$O$1</c:f>
              <c:strCache>
                <c:ptCount val="1"/>
                <c:pt idx="0">
                  <c:v>Vitesse (m/s)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Feuil1!$O$2:$O$154</c:f>
              <c:numCache>
                <c:formatCode>General</c:formatCode>
                <c:ptCount val="153"/>
                <c:pt idx="1">
                  <c:v>5.4000000000000394</c:v>
                </c:pt>
                <c:pt idx="2">
                  <c:v>4.4999999999999831</c:v>
                </c:pt>
                <c:pt idx="3">
                  <c:v>5.3999999999999861</c:v>
                </c:pt>
                <c:pt idx="4">
                  <c:v>4.5000000000000151</c:v>
                </c:pt>
                <c:pt idx="5">
                  <c:v>4.4999999999999964</c:v>
                </c:pt>
                <c:pt idx="6">
                  <c:v>5.3999999999999702</c:v>
                </c:pt>
                <c:pt idx="7">
                  <c:v>4.5000000000000417</c:v>
                </c:pt>
                <c:pt idx="8">
                  <c:v>4.4999999999999964</c:v>
                </c:pt>
                <c:pt idx="9">
                  <c:v>5.3999999999999746</c:v>
                </c:pt>
                <c:pt idx="10">
                  <c:v>5.4000000000003343</c:v>
                </c:pt>
                <c:pt idx="11">
                  <c:v>4.4999999999998694</c:v>
                </c:pt>
                <c:pt idx="12">
                  <c:v>5.3999999999998129</c:v>
                </c:pt>
                <c:pt idx="13">
                  <c:v>4.5000000000003038</c:v>
                </c:pt>
                <c:pt idx="14">
                  <c:v>5.3999999999998129</c:v>
                </c:pt>
                <c:pt idx="15">
                  <c:v>4.4999999999998694</c:v>
                </c:pt>
                <c:pt idx="16">
                  <c:v>5.4000000000003343</c:v>
                </c:pt>
                <c:pt idx="17">
                  <c:v>4.4999999999998614</c:v>
                </c:pt>
                <c:pt idx="18">
                  <c:v>5.3999999999998307</c:v>
                </c:pt>
                <c:pt idx="19">
                  <c:v>5.4000000000003343</c:v>
                </c:pt>
                <c:pt idx="20">
                  <c:v>4.4999999999998614</c:v>
                </c:pt>
                <c:pt idx="21">
                  <c:v>5.3999999999998307</c:v>
                </c:pt>
                <c:pt idx="22">
                  <c:v>5.4000000000003343</c:v>
                </c:pt>
                <c:pt idx="23">
                  <c:v>4.4999999999998614</c:v>
                </c:pt>
                <c:pt idx="24">
                  <c:v>5.3999999999998129</c:v>
                </c:pt>
                <c:pt idx="25">
                  <c:v>5.4000000000003787</c:v>
                </c:pt>
                <c:pt idx="26">
                  <c:v>4.4999999999998348</c:v>
                </c:pt>
                <c:pt idx="27">
                  <c:v>5.3999999999998129</c:v>
                </c:pt>
                <c:pt idx="28">
                  <c:v>4.5000000000002967</c:v>
                </c:pt>
                <c:pt idx="29">
                  <c:v>5.3999999999998307</c:v>
                </c:pt>
                <c:pt idx="30">
                  <c:v>5.3999999999998129</c:v>
                </c:pt>
                <c:pt idx="31">
                  <c:v>5.4000000000003876</c:v>
                </c:pt>
                <c:pt idx="32">
                  <c:v>5.3999999999998307</c:v>
                </c:pt>
                <c:pt idx="33">
                  <c:v>4.4999999999997939</c:v>
                </c:pt>
                <c:pt idx="34">
                  <c:v>5.4000000000003876</c:v>
                </c:pt>
                <c:pt idx="35">
                  <c:v>5.3999999999998307</c:v>
                </c:pt>
                <c:pt idx="36">
                  <c:v>4.4999999999998765</c:v>
                </c:pt>
                <c:pt idx="37">
                  <c:v>5.4000000000003343</c:v>
                </c:pt>
                <c:pt idx="38">
                  <c:v>5.3999999999998307</c:v>
                </c:pt>
                <c:pt idx="39">
                  <c:v>5.3999999999997952</c:v>
                </c:pt>
                <c:pt idx="40">
                  <c:v>5.4000000000003343</c:v>
                </c:pt>
                <c:pt idx="41">
                  <c:v>5.3999999999998307</c:v>
                </c:pt>
                <c:pt idx="42">
                  <c:v>5.3999999999998307</c:v>
                </c:pt>
                <c:pt idx="43">
                  <c:v>5.4000000000003876</c:v>
                </c:pt>
                <c:pt idx="44">
                  <c:v>5.3999999999997952</c:v>
                </c:pt>
                <c:pt idx="45">
                  <c:v>5.3999999999998307</c:v>
                </c:pt>
                <c:pt idx="46">
                  <c:v>4.5000000000002967</c:v>
                </c:pt>
                <c:pt idx="47">
                  <c:v>5.3999999999998307</c:v>
                </c:pt>
                <c:pt idx="48">
                  <c:v>5.3999999999997952</c:v>
                </c:pt>
                <c:pt idx="49">
                  <c:v>5.4000000000003343</c:v>
                </c:pt>
                <c:pt idx="50">
                  <c:v>5.3999999999998307</c:v>
                </c:pt>
                <c:pt idx="51">
                  <c:v>5.399999999999884</c:v>
                </c:pt>
                <c:pt idx="52">
                  <c:v>5.4000000000003343</c:v>
                </c:pt>
                <c:pt idx="53">
                  <c:v>5.3999999999998307</c:v>
                </c:pt>
                <c:pt idx="54">
                  <c:v>5.3999999999997952</c:v>
                </c:pt>
                <c:pt idx="55">
                  <c:v>5.4000000000003343</c:v>
                </c:pt>
                <c:pt idx="56">
                  <c:v>5.3999999999998307</c:v>
                </c:pt>
                <c:pt idx="57">
                  <c:v>5.3999999999998307</c:v>
                </c:pt>
                <c:pt idx="58">
                  <c:v>6.3000000000004253</c:v>
                </c:pt>
                <c:pt idx="59">
                  <c:v>5.3999999999997952</c:v>
                </c:pt>
                <c:pt idx="60">
                  <c:v>5.3999999999998307</c:v>
                </c:pt>
                <c:pt idx="61">
                  <c:v>5.4000000000003707</c:v>
                </c:pt>
                <c:pt idx="62">
                  <c:v>5.3999999999998485</c:v>
                </c:pt>
                <c:pt idx="63">
                  <c:v>2.6999999999998976</c:v>
                </c:pt>
                <c:pt idx="64">
                  <c:v>1.800000000000088</c:v>
                </c:pt>
                <c:pt idx="65">
                  <c:v>0</c:v>
                </c:pt>
                <c:pt idx="66">
                  <c:v>-1.7999999999998961</c:v>
                </c:pt>
                <c:pt idx="67">
                  <c:v>-3.6000000000002825</c:v>
                </c:pt>
                <c:pt idx="68">
                  <c:v>-3.5999999999998455</c:v>
                </c:pt>
                <c:pt idx="69">
                  <c:v>-4.4999999999999067</c:v>
                </c:pt>
                <c:pt idx="70">
                  <c:v>-4.5000000000002665</c:v>
                </c:pt>
                <c:pt idx="71">
                  <c:v>-4.4999999999998472</c:v>
                </c:pt>
                <c:pt idx="72">
                  <c:v>-4.4999999999998535</c:v>
                </c:pt>
                <c:pt idx="73">
                  <c:v>-4.5000000000002665</c:v>
                </c:pt>
                <c:pt idx="74">
                  <c:v>-4.4999999999999067</c:v>
                </c:pt>
                <c:pt idx="75">
                  <c:v>-4.4999999999998472</c:v>
                </c:pt>
                <c:pt idx="76">
                  <c:v>-4.5000000000003268</c:v>
                </c:pt>
                <c:pt idx="77">
                  <c:v>-4.4999999999997939</c:v>
                </c:pt>
                <c:pt idx="78">
                  <c:v>-4.4999999999998472</c:v>
                </c:pt>
                <c:pt idx="79">
                  <c:v>-4.5000000000003268</c:v>
                </c:pt>
                <c:pt idx="80">
                  <c:v>-4.4999999999998472</c:v>
                </c:pt>
                <c:pt idx="81">
                  <c:v>-4.4999999999998472</c:v>
                </c:pt>
                <c:pt idx="82">
                  <c:v>-3.6000000000002292</c:v>
                </c:pt>
                <c:pt idx="83">
                  <c:v>-4.4999999999998472</c:v>
                </c:pt>
                <c:pt idx="84">
                  <c:v>-4.4999999999999067</c:v>
                </c:pt>
                <c:pt idx="85">
                  <c:v>-4.5000000000002132</c:v>
                </c:pt>
                <c:pt idx="86">
                  <c:v>-4.4999999999998472</c:v>
                </c:pt>
                <c:pt idx="87">
                  <c:v>-3.5999999999999468</c:v>
                </c:pt>
                <c:pt idx="88">
                  <c:v>-4.5000000000002132</c:v>
                </c:pt>
                <c:pt idx="89">
                  <c:v>-4.4999999999999067</c:v>
                </c:pt>
                <c:pt idx="90">
                  <c:v>-3.5999999999998988</c:v>
                </c:pt>
                <c:pt idx="91">
                  <c:v>-4.5000000000002736</c:v>
                </c:pt>
                <c:pt idx="92">
                  <c:v>-4.4999999999998472</c:v>
                </c:pt>
                <c:pt idx="93">
                  <c:v>-4.4999999999998472</c:v>
                </c:pt>
                <c:pt idx="94">
                  <c:v>-3.6000000000002292</c:v>
                </c:pt>
                <c:pt idx="95">
                  <c:v>-4.4999999999998472</c:v>
                </c:pt>
                <c:pt idx="96">
                  <c:v>-3.5999999999998988</c:v>
                </c:pt>
                <c:pt idx="97">
                  <c:v>-4.5000000000028511</c:v>
                </c:pt>
                <c:pt idx="98">
                  <c:v>-4.4999999999985878</c:v>
                </c:pt>
                <c:pt idx="99">
                  <c:v>-3.5999999999988916</c:v>
                </c:pt>
                <c:pt idx="100">
                  <c:v>-4.5000000000028439</c:v>
                </c:pt>
                <c:pt idx="101">
                  <c:v>-3.5999999999988384</c:v>
                </c:pt>
                <c:pt idx="102">
                  <c:v>-4.4999999999985878</c:v>
                </c:pt>
                <c:pt idx="103">
                  <c:v>-4.5000000000029043</c:v>
                </c:pt>
                <c:pt idx="104">
                  <c:v>-3.5999999999987904</c:v>
                </c:pt>
                <c:pt idx="105">
                  <c:v>-4.4999999999985878</c:v>
                </c:pt>
                <c:pt idx="106">
                  <c:v>-3.6000000000022916</c:v>
                </c:pt>
                <c:pt idx="107">
                  <c:v>-4.4999999999985274</c:v>
                </c:pt>
                <c:pt idx="108">
                  <c:v>-4.4999999999985878</c:v>
                </c:pt>
                <c:pt idx="109">
                  <c:v>-3.6000000000022916</c:v>
                </c:pt>
                <c:pt idx="110">
                  <c:v>-3.5999999999988916</c:v>
                </c:pt>
                <c:pt idx="111">
                  <c:v>-4.4999999999985008</c:v>
                </c:pt>
                <c:pt idx="112">
                  <c:v>-4.5000000000029043</c:v>
                </c:pt>
                <c:pt idx="113">
                  <c:v>-3.5999999999988384</c:v>
                </c:pt>
                <c:pt idx="114">
                  <c:v>-4.4999999999985878</c:v>
                </c:pt>
                <c:pt idx="115">
                  <c:v>-3.6000000000022703</c:v>
                </c:pt>
                <c:pt idx="116">
                  <c:v>-3.599999999998865</c:v>
                </c:pt>
                <c:pt idx="117">
                  <c:v>-4.4999999999985612</c:v>
                </c:pt>
                <c:pt idx="118">
                  <c:v>-3.6000000000023182</c:v>
                </c:pt>
                <c:pt idx="119">
                  <c:v>-4.4999999999985274</c:v>
                </c:pt>
                <c:pt idx="120">
                  <c:v>-3.599999999998865</c:v>
                </c:pt>
                <c:pt idx="121">
                  <c:v>-3.6000000000023182</c:v>
                </c:pt>
                <c:pt idx="122">
                  <c:v>-4.4999999999985612</c:v>
                </c:pt>
                <c:pt idx="123">
                  <c:v>-3.599999999998865</c:v>
                </c:pt>
                <c:pt idx="124">
                  <c:v>-3.6000000000022223</c:v>
                </c:pt>
                <c:pt idx="125">
                  <c:v>-4.4999999999985878</c:v>
                </c:pt>
                <c:pt idx="126">
                  <c:v>-3.5999999999988384</c:v>
                </c:pt>
                <c:pt idx="127">
                  <c:v>-3.6000000000023182</c:v>
                </c:pt>
                <c:pt idx="128">
                  <c:v>-4.4999999999985878</c:v>
                </c:pt>
                <c:pt idx="129">
                  <c:v>-3.599999999998865</c:v>
                </c:pt>
                <c:pt idx="130">
                  <c:v>-3.6000000000023182</c:v>
                </c:pt>
                <c:pt idx="131">
                  <c:v>-4.4999999999985612</c:v>
                </c:pt>
                <c:pt idx="132">
                  <c:v>-3.5999999999987691</c:v>
                </c:pt>
                <c:pt idx="133">
                  <c:v>-3.6000000000023182</c:v>
                </c:pt>
                <c:pt idx="134">
                  <c:v>-3.599999999998865</c:v>
                </c:pt>
                <c:pt idx="135">
                  <c:v>-4.4999999999985612</c:v>
                </c:pt>
                <c:pt idx="136">
                  <c:v>-3.6000000000023182</c:v>
                </c:pt>
                <c:pt idx="137">
                  <c:v>-3.599999999998865</c:v>
                </c:pt>
                <c:pt idx="138">
                  <c:v>-3.599999999998865</c:v>
                </c:pt>
                <c:pt idx="139">
                  <c:v>-3.6000000000022223</c:v>
                </c:pt>
                <c:pt idx="140">
                  <c:v>-4.4999999999985878</c:v>
                </c:pt>
                <c:pt idx="141">
                  <c:v>-3.5999999999988517</c:v>
                </c:pt>
                <c:pt idx="142">
                  <c:v>-3.6000000000023182</c:v>
                </c:pt>
                <c:pt idx="143">
                  <c:v>-3.5999999999988517</c:v>
                </c:pt>
                <c:pt idx="144">
                  <c:v>-4.4999999999985878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58-403A-961D-678E8FECE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22216"/>
        <c:axId val="876877319"/>
      </c:scatterChart>
      <c:valAx>
        <c:axId val="9142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77319"/>
        <c:crosses val="autoZero"/>
        <c:crossBetween val="midCat"/>
      </c:valAx>
      <c:valAx>
        <c:axId val="876877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2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Cuir-Béton: Position sur l'axe -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Feuil1!$Q$1</c:f>
              <c:strCache>
                <c:ptCount val="1"/>
                <c:pt idx="0">
                  <c:v>Position (en m sur -Y)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Feuil1!$P$2:$P$154</c:f>
              <c:numCache>
                <c:formatCode>General</c:formatCode>
                <c:ptCount val="153"/>
                <c:pt idx="0">
                  <c:v>0</c:v>
                </c:pt>
                <c:pt idx="1">
                  <c:v>1.0416666666666599E-3</c:v>
                </c:pt>
                <c:pt idx="2">
                  <c:v>2.0833333333333298E-3</c:v>
                </c:pt>
                <c:pt idx="3">
                  <c:v>3.1250000000000002E-3</c:v>
                </c:pt>
                <c:pt idx="4">
                  <c:v>4.1666666666666597E-3</c:v>
                </c:pt>
                <c:pt idx="5">
                  <c:v>5.2083333333333296E-3</c:v>
                </c:pt>
                <c:pt idx="6">
                  <c:v>6.2500000000000003E-3</c:v>
                </c:pt>
                <c:pt idx="7">
                  <c:v>7.2916666666666598E-3</c:v>
                </c:pt>
                <c:pt idx="8">
                  <c:v>8.3333333333333297E-3</c:v>
                </c:pt>
                <c:pt idx="9">
                  <c:v>9.3749999999999997E-3</c:v>
                </c:pt>
                <c:pt idx="10">
                  <c:v>1.04166666666666E-2</c:v>
                </c:pt>
                <c:pt idx="11">
                  <c:v>1.14583333333333E-2</c:v>
                </c:pt>
                <c:pt idx="12">
                  <c:v>1.2500000000000001E-2</c:v>
                </c:pt>
                <c:pt idx="13">
                  <c:v>1.3541666666666599E-2</c:v>
                </c:pt>
                <c:pt idx="14">
                  <c:v>1.4583333333333301E-2</c:v>
                </c:pt>
                <c:pt idx="15">
                  <c:v>1.5625E-2</c:v>
                </c:pt>
                <c:pt idx="16">
                  <c:v>1.6666666666666601E-2</c:v>
                </c:pt>
                <c:pt idx="17">
                  <c:v>1.7708333333333302E-2</c:v>
                </c:pt>
                <c:pt idx="18">
                  <c:v>1.8749999999999999E-2</c:v>
                </c:pt>
                <c:pt idx="19">
                  <c:v>1.97916666666666E-2</c:v>
                </c:pt>
                <c:pt idx="20">
                  <c:v>2.0833333333333301E-2</c:v>
                </c:pt>
                <c:pt idx="21">
                  <c:v>2.1874999999999999E-2</c:v>
                </c:pt>
                <c:pt idx="22">
                  <c:v>2.2916666666666599E-2</c:v>
                </c:pt>
                <c:pt idx="23">
                  <c:v>2.39583333333333E-2</c:v>
                </c:pt>
                <c:pt idx="24">
                  <c:v>2.5000000000000001E-2</c:v>
                </c:pt>
                <c:pt idx="25">
                  <c:v>2.6041666666666598E-2</c:v>
                </c:pt>
                <c:pt idx="26">
                  <c:v>2.70833333333333E-2</c:v>
                </c:pt>
                <c:pt idx="27">
                  <c:v>2.8125000000000001E-2</c:v>
                </c:pt>
                <c:pt idx="28">
                  <c:v>2.9166666666666601E-2</c:v>
                </c:pt>
                <c:pt idx="29">
                  <c:v>3.0208333333333299E-2</c:v>
                </c:pt>
                <c:pt idx="30">
                  <c:v>3.125E-2</c:v>
                </c:pt>
                <c:pt idx="31">
                  <c:v>3.2291666666666601E-2</c:v>
                </c:pt>
                <c:pt idx="32">
                  <c:v>3.3333333333333298E-2</c:v>
                </c:pt>
                <c:pt idx="33">
                  <c:v>3.4375000000000003E-2</c:v>
                </c:pt>
                <c:pt idx="34">
                  <c:v>3.5416666666666603E-2</c:v>
                </c:pt>
                <c:pt idx="35">
                  <c:v>3.6458333333333301E-2</c:v>
                </c:pt>
                <c:pt idx="36">
                  <c:v>3.7499999999999999E-2</c:v>
                </c:pt>
                <c:pt idx="37">
                  <c:v>3.8541666666666599E-2</c:v>
                </c:pt>
                <c:pt idx="38">
                  <c:v>3.9583333333333297E-2</c:v>
                </c:pt>
                <c:pt idx="39">
                  <c:v>4.0625000000000001E-2</c:v>
                </c:pt>
                <c:pt idx="40">
                  <c:v>4.1666666666666602E-2</c:v>
                </c:pt>
                <c:pt idx="41">
                  <c:v>4.27083333333333E-2</c:v>
                </c:pt>
                <c:pt idx="42">
                  <c:v>4.3749999999999997E-2</c:v>
                </c:pt>
                <c:pt idx="43">
                  <c:v>4.4791666666666598E-2</c:v>
                </c:pt>
                <c:pt idx="44">
                  <c:v>4.5833333333333302E-2</c:v>
                </c:pt>
                <c:pt idx="45">
                  <c:v>4.6875E-2</c:v>
                </c:pt>
                <c:pt idx="46">
                  <c:v>4.7916666666666601E-2</c:v>
                </c:pt>
                <c:pt idx="47">
                  <c:v>4.8958333333333298E-2</c:v>
                </c:pt>
                <c:pt idx="48">
                  <c:v>0.05</c:v>
                </c:pt>
                <c:pt idx="49">
                  <c:v>5.1041666666666603E-2</c:v>
                </c:pt>
                <c:pt idx="50">
                  <c:v>5.2083333333333301E-2</c:v>
                </c:pt>
                <c:pt idx="51">
                  <c:v>5.3124999999999999E-2</c:v>
                </c:pt>
                <c:pt idx="52">
                  <c:v>5.4166666666666599E-2</c:v>
                </c:pt>
                <c:pt idx="53">
                  <c:v>5.5208333333333297E-2</c:v>
                </c:pt>
                <c:pt idx="54">
                  <c:v>5.6250000000000001E-2</c:v>
                </c:pt>
                <c:pt idx="55">
                  <c:v>5.7291666666666602E-2</c:v>
                </c:pt>
                <c:pt idx="56">
                  <c:v>5.83333333333333E-2</c:v>
                </c:pt>
                <c:pt idx="57">
                  <c:v>5.9374999999999997E-2</c:v>
                </c:pt>
                <c:pt idx="58">
                  <c:v>6.0416666666666598E-2</c:v>
                </c:pt>
                <c:pt idx="59">
                  <c:v>6.1458333333333302E-2</c:v>
                </c:pt>
                <c:pt idx="60">
                  <c:v>6.25E-2</c:v>
                </c:pt>
                <c:pt idx="61">
                  <c:v>6.3541666666666594E-2</c:v>
                </c:pt>
                <c:pt idx="62">
                  <c:v>6.4583333333333298E-2</c:v>
                </c:pt>
                <c:pt idx="63">
                  <c:v>6.5625000000000003E-2</c:v>
                </c:pt>
                <c:pt idx="64">
                  <c:v>6.6666666666666596E-2</c:v>
                </c:pt>
                <c:pt idx="65">
                  <c:v>6.7708333333333301E-2</c:v>
                </c:pt>
                <c:pt idx="66">
                  <c:v>6.8750000000000006E-2</c:v>
                </c:pt>
                <c:pt idx="67">
                  <c:v>6.9791666666666599E-2</c:v>
                </c:pt>
                <c:pt idx="68">
                  <c:v>7.0833333333333304E-2</c:v>
                </c:pt>
                <c:pt idx="69">
                  <c:v>7.1874999999999994E-2</c:v>
                </c:pt>
                <c:pt idx="70">
                  <c:v>7.2916666666666602E-2</c:v>
                </c:pt>
                <c:pt idx="71">
                  <c:v>7.3958333333333307E-2</c:v>
                </c:pt>
                <c:pt idx="72">
                  <c:v>7.4999999999999997E-2</c:v>
                </c:pt>
                <c:pt idx="73">
                  <c:v>7.6041666666666605E-2</c:v>
                </c:pt>
                <c:pt idx="74">
                  <c:v>7.7083333333333295E-2</c:v>
                </c:pt>
                <c:pt idx="75">
                  <c:v>7.8125E-2</c:v>
                </c:pt>
                <c:pt idx="76">
                  <c:v>7.9166666666666594E-2</c:v>
                </c:pt>
                <c:pt idx="77">
                  <c:v>8.0208333333333298E-2</c:v>
                </c:pt>
                <c:pt idx="78">
                  <c:v>8.1250000000000003E-2</c:v>
                </c:pt>
                <c:pt idx="79">
                  <c:v>8.2291666666666596E-2</c:v>
                </c:pt>
                <c:pt idx="80">
                  <c:v>8.3333333333333301E-2</c:v>
                </c:pt>
                <c:pt idx="81">
                  <c:v>8.4375000000000006E-2</c:v>
                </c:pt>
                <c:pt idx="82">
                  <c:v>8.5416666666666599E-2</c:v>
                </c:pt>
                <c:pt idx="83">
                  <c:v>8.6458333333333304E-2</c:v>
                </c:pt>
                <c:pt idx="84">
                  <c:v>8.7499999999999994E-2</c:v>
                </c:pt>
                <c:pt idx="85">
                  <c:v>8.8541666666666602E-2</c:v>
                </c:pt>
                <c:pt idx="86">
                  <c:v>8.9583333333333307E-2</c:v>
                </c:pt>
                <c:pt idx="87">
                  <c:v>9.0624999999999997E-2</c:v>
                </c:pt>
                <c:pt idx="88">
                  <c:v>9.1666666666666605E-2</c:v>
                </c:pt>
                <c:pt idx="89">
                  <c:v>9.2708333333333295E-2</c:v>
                </c:pt>
                <c:pt idx="90">
                  <c:v>9.375E-2</c:v>
                </c:pt>
                <c:pt idx="91">
                  <c:v>9.4791666666666594E-2</c:v>
                </c:pt>
                <c:pt idx="92">
                  <c:v>9.5833333333333298E-2</c:v>
                </c:pt>
                <c:pt idx="93">
                  <c:v>9.6875000000000003E-2</c:v>
                </c:pt>
                <c:pt idx="94">
                  <c:v>9.7916666666666596E-2</c:v>
                </c:pt>
                <c:pt idx="95">
                  <c:v>9.8958333333333301E-2</c:v>
                </c:pt>
                <c:pt idx="96">
                  <c:v>0.1</c:v>
                </c:pt>
                <c:pt idx="97">
                  <c:v>0.101041666666666</c:v>
                </c:pt>
                <c:pt idx="98">
                  <c:v>0.102083333333333</c:v>
                </c:pt>
                <c:pt idx="99">
                  <c:v>0.10312499999999999</c:v>
                </c:pt>
                <c:pt idx="100">
                  <c:v>0.10416666666666601</c:v>
                </c:pt>
                <c:pt idx="101">
                  <c:v>0.105208333333333</c:v>
                </c:pt>
                <c:pt idx="102">
                  <c:v>0.10625</c:v>
                </c:pt>
                <c:pt idx="103">
                  <c:v>0.10729166666666599</c:v>
                </c:pt>
                <c:pt idx="104">
                  <c:v>0.108333333333333</c:v>
                </c:pt>
                <c:pt idx="105">
                  <c:v>0.109375</c:v>
                </c:pt>
                <c:pt idx="106">
                  <c:v>0.110416666666666</c:v>
                </c:pt>
                <c:pt idx="107">
                  <c:v>0.11145833333333301</c:v>
                </c:pt>
                <c:pt idx="108">
                  <c:v>0.1125</c:v>
                </c:pt>
                <c:pt idx="109">
                  <c:v>0.113541666666666</c:v>
                </c:pt>
                <c:pt idx="110">
                  <c:v>0.114583333333333</c:v>
                </c:pt>
                <c:pt idx="111">
                  <c:v>0.11562500000000001</c:v>
                </c:pt>
                <c:pt idx="112">
                  <c:v>0.116666666666666</c:v>
                </c:pt>
                <c:pt idx="113">
                  <c:v>0.117708333333333</c:v>
                </c:pt>
                <c:pt idx="114">
                  <c:v>0.11874999999999999</c:v>
                </c:pt>
                <c:pt idx="115">
                  <c:v>0.11979166666666601</c:v>
                </c:pt>
                <c:pt idx="116">
                  <c:v>0.120833333333333</c:v>
                </c:pt>
                <c:pt idx="117">
                  <c:v>0.121875</c:v>
                </c:pt>
                <c:pt idx="118">
                  <c:v>0.12291666666666599</c:v>
                </c:pt>
                <c:pt idx="119">
                  <c:v>0.123958333333333</c:v>
                </c:pt>
                <c:pt idx="120">
                  <c:v>0.125</c:v>
                </c:pt>
                <c:pt idx="121">
                  <c:v>0.126041666666666</c:v>
                </c:pt>
                <c:pt idx="122">
                  <c:v>0.12708333333333299</c:v>
                </c:pt>
                <c:pt idx="123">
                  <c:v>0.12812499999999999</c:v>
                </c:pt>
                <c:pt idx="124">
                  <c:v>0.12916666666666601</c:v>
                </c:pt>
                <c:pt idx="125">
                  <c:v>0.13020833333333301</c:v>
                </c:pt>
                <c:pt idx="126">
                  <c:v>0.13125000000000001</c:v>
                </c:pt>
                <c:pt idx="127">
                  <c:v>0.132291666666666</c:v>
                </c:pt>
                <c:pt idx="128">
                  <c:v>0.133333333333333</c:v>
                </c:pt>
                <c:pt idx="129">
                  <c:v>0.13437499999999999</c:v>
                </c:pt>
                <c:pt idx="130">
                  <c:v>0.13541666666666599</c:v>
                </c:pt>
                <c:pt idx="131">
                  <c:v>0.13645833333333299</c:v>
                </c:pt>
                <c:pt idx="132">
                  <c:v>0.13750000000000001</c:v>
                </c:pt>
                <c:pt idx="133">
                  <c:v>0.13854166666666601</c:v>
                </c:pt>
                <c:pt idx="134">
                  <c:v>0.139583333333333</c:v>
                </c:pt>
                <c:pt idx="135">
                  <c:v>0.140625</c:v>
                </c:pt>
                <c:pt idx="136">
                  <c:v>0.141666666666666</c:v>
                </c:pt>
                <c:pt idx="137">
                  <c:v>0.14270833333333299</c:v>
                </c:pt>
                <c:pt idx="138">
                  <c:v>0.14374999999999999</c:v>
                </c:pt>
                <c:pt idx="139">
                  <c:v>0.14479166666666601</c:v>
                </c:pt>
                <c:pt idx="140">
                  <c:v>0.14583333333333301</c:v>
                </c:pt>
                <c:pt idx="141">
                  <c:v>0.14687500000000001</c:v>
                </c:pt>
                <c:pt idx="142">
                  <c:v>0.147916666666666</c:v>
                </c:pt>
                <c:pt idx="143">
                  <c:v>0.148958333333333</c:v>
                </c:pt>
                <c:pt idx="144">
                  <c:v>0.15</c:v>
                </c:pt>
              </c:numCache>
            </c:numRef>
          </c:xVal>
          <c:yVal>
            <c:numRef>
              <c:f>Feuil1!$Q$2:$Q$154</c:f>
              <c:numCache>
                <c:formatCode>General</c:formatCode>
                <c:ptCount val="153"/>
                <c:pt idx="0">
                  <c:v>0.10781249999999999</c:v>
                </c:pt>
                <c:pt idx="1">
                  <c:v>0.1134375</c:v>
                </c:pt>
                <c:pt idx="2">
                  <c:v>0.11812499999999999</c:v>
                </c:pt>
                <c:pt idx="3">
                  <c:v>0.12375</c:v>
                </c:pt>
                <c:pt idx="4">
                  <c:v>0.12843749999999998</c:v>
                </c:pt>
                <c:pt idx="5">
                  <c:v>0.13312499999999999</c:v>
                </c:pt>
                <c:pt idx="6">
                  <c:v>0.13874999999999998</c:v>
                </c:pt>
                <c:pt idx="7">
                  <c:v>0.1434375</c:v>
                </c:pt>
                <c:pt idx="8">
                  <c:v>0.14812500000000001</c:v>
                </c:pt>
                <c:pt idx="9">
                  <c:v>0.15375</c:v>
                </c:pt>
                <c:pt idx="10">
                  <c:v>0.15937499999999999</c:v>
                </c:pt>
                <c:pt idx="11">
                  <c:v>0.1640625</c:v>
                </c:pt>
                <c:pt idx="12">
                  <c:v>0.16968749999999999</c:v>
                </c:pt>
                <c:pt idx="13">
                  <c:v>0.174375</c:v>
                </c:pt>
                <c:pt idx="14">
                  <c:v>0.18</c:v>
                </c:pt>
                <c:pt idx="15">
                  <c:v>0.1846875</c:v>
                </c:pt>
                <c:pt idx="16">
                  <c:v>0.1903125</c:v>
                </c:pt>
                <c:pt idx="17">
                  <c:v>0.19500000000000001</c:v>
                </c:pt>
                <c:pt idx="18">
                  <c:v>0.200625</c:v>
                </c:pt>
                <c:pt idx="19">
                  <c:v>0.20624999999999999</c:v>
                </c:pt>
                <c:pt idx="20">
                  <c:v>0.2109375</c:v>
                </c:pt>
                <c:pt idx="21">
                  <c:v>0.21656249999999999</c:v>
                </c:pt>
                <c:pt idx="22">
                  <c:v>0.22218749999999998</c:v>
                </c:pt>
                <c:pt idx="23">
                  <c:v>0.22687499999999999</c:v>
                </c:pt>
                <c:pt idx="24">
                  <c:v>0.23249999999999998</c:v>
                </c:pt>
                <c:pt idx="25">
                  <c:v>0.238125</c:v>
                </c:pt>
                <c:pt idx="26">
                  <c:v>0.24281249999999999</c:v>
                </c:pt>
                <c:pt idx="27">
                  <c:v>0.24843749999999998</c:v>
                </c:pt>
                <c:pt idx="28">
                  <c:v>0.25312499999999999</c:v>
                </c:pt>
                <c:pt idx="29">
                  <c:v>0.25874999999999998</c:v>
                </c:pt>
                <c:pt idx="30">
                  <c:v>0.26437499999999997</c:v>
                </c:pt>
                <c:pt idx="31">
                  <c:v>0.27</c:v>
                </c:pt>
                <c:pt idx="32">
                  <c:v>0.27562500000000001</c:v>
                </c:pt>
                <c:pt idx="33">
                  <c:v>0.28031249999999996</c:v>
                </c:pt>
                <c:pt idx="34">
                  <c:v>0.28593750000000001</c:v>
                </c:pt>
                <c:pt idx="35">
                  <c:v>0.2915625</c:v>
                </c:pt>
                <c:pt idx="36">
                  <c:v>0.29625000000000001</c:v>
                </c:pt>
                <c:pt idx="37">
                  <c:v>0.301875</c:v>
                </c:pt>
                <c:pt idx="38">
                  <c:v>0.3075</c:v>
                </c:pt>
                <c:pt idx="39">
                  <c:v>0.31312499999999999</c:v>
                </c:pt>
                <c:pt idx="40">
                  <c:v>0.31874999999999998</c:v>
                </c:pt>
                <c:pt idx="41">
                  <c:v>0.32437499999999997</c:v>
                </c:pt>
                <c:pt idx="42">
                  <c:v>0.32999999999999996</c:v>
                </c:pt>
                <c:pt idx="43">
                  <c:v>0.33562500000000001</c:v>
                </c:pt>
                <c:pt idx="44">
                  <c:v>0.34125</c:v>
                </c:pt>
                <c:pt idx="45">
                  <c:v>0.34687499999999999</c:v>
                </c:pt>
                <c:pt idx="46">
                  <c:v>0.3515625</c:v>
                </c:pt>
                <c:pt idx="47">
                  <c:v>0.35718749999999999</c:v>
                </c:pt>
                <c:pt idx="48">
                  <c:v>0.36281249999999998</c:v>
                </c:pt>
                <c:pt idx="49">
                  <c:v>0.36843749999999997</c:v>
                </c:pt>
                <c:pt idx="50">
                  <c:v>0.37406249999999996</c:v>
                </c:pt>
                <c:pt idx="51">
                  <c:v>0.37968750000000001</c:v>
                </c:pt>
                <c:pt idx="52">
                  <c:v>0.3853125</c:v>
                </c:pt>
                <c:pt idx="53">
                  <c:v>0.39093749999999999</c:v>
                </c:pt>
                <c:pt idx="54">
                  <c:v>0.39656249999999998</c:v>
                </c:pt>
                <c:pt idx="55">
                  <c:v>0.40218749999999998</c:v>
                </c:pt>
                <c:pt idx="56">
                  <c:v>0.40781249999999997</c:v>
                </c:pt>
                <c:pt idx="57">
                  <c:v>0.41343749999999996</c:v>
                </c:pt>
                <c:pt idx="58">
                  <c:v>0.42</c:v>
                </c:pt>
                <c:pt idx="59">
                  <c:v>0.42562499999999998</c:v>
                </c:pt>
                <c:pt idx="60">
                  <c:v>0.43124999999999997</c:v>
                </c:pt>
                <c:pt idx="61">
                  <c:v>0.43687499999999996</c:v>
                </c:pt>
                <c:pt idx="62">
                  <c:v>0.4425</c:v>
                </c:pt>
                <c:pt idx="63">
                  <c:v>0.4453125</c:v>
                </c:pt>
                <c:pt idx="64">
                  <c:v>0.44718749999999996</c:v>
                </c:pt>
                <c:pt idx="65">
                  <c:v>0.44718749999999996</c:v>
                </c:pt>
                <c:pt idx="66">
                  <c:v>0.4453125</c:v>
                </c:pt>
                <c:pt idx="67">
                  <c:v>0.44156249999999997</c:v>
                </c:pt>
                <c:pt idx="68">
                  <c:v>0.43781249999999999</c:v>
                </c:pt>
                <c:pt idx="69">
                  <c:v>0.43312499999999998</c:v>
                </c:pt>
                <c:pt idx="70">
                  <c:v>0.42843749999999997</c:v>
                </c:pt>
                <c:pt idx="71">
                  <c:v>0.42374999999999996</c:v>
                </c:pt>
                <c:pt idx="72">
                  <c:v>0.4190625</c:v>
                </c:pt>
                <c:pt idx="73">
                  <c:v>0.41437499999999999</c:v>
                </c:pt>
                <c:pt idx="74">
                  <c:v>0.40968749999999998</c:v>
                </c:pt>
                <c:pt idx="75">
                  <c:v>0.40499999999999997</c:v>
                </c:pt>
                <c:pt idx="76">
                  <c:v>0.40031249999999996</c:v>
                </c:pt>
                <c:pt idx="77">
                  <c:v>0.395625</c:v>
                </c:pt>
                <c:pt idx="78">
                  <c:v>0.39093749999999999</c:v>
                </c:pt>
                <c:pt idx="79">
                  <c:v>0.38624999999999998</c:v>
                </c:pt>
                <c:pt idx="80">
                  <c:v>0.38156249999999997</c:v>
                </c:pt>
                <c:pt idx="81">
                  <c:v>0.37687499999999996</c:v>
                </c:pt>
                <c:pt idx="82">
                  <c:v>0.37312499999999998</c:v>
                </c:pt>
                <c:pt idx="83">
                  <c:v>0.36843749999999997</c:v>
                </c:pt>
                <c:pt idx="84">
                  <c:v>0.36374999999999996</c:v>
                </c:pt>
                <c:pt idx="85">
                  <c:v>0.35906250000000001</c:v>
                </c:pt>
                <c:pt idx="86">
                  <c:v>0.354375</c:v>
                </c:pt>
                <c:pt idx="87">
                  <c:v>0.35062499999999996</c:v>
                </c:pt>
                <c:pt idx="88">
                  <c:v>0.34593750000000001</c:v>
                </c:pt>
                <c:pt idx="89">
                  <c:v>0.34125</c:v>
                </c:pt>
                <c:pt idx="90">
                  <c:v>0.33749999999999997</c:v>
                </c:pt>
                <c:pt idx="91">
                  <c:v>0.33281250000000001</c:v>
                </c:pt>
                <c:pt idx="92">
                  <c:v>0.328125</c:v>
                </c:pt>
                <c:pt idx="93">
                  <c:v>0.32343749999999999</c:v>
                </c:pt>
                <c:pt idx="94">
                  <c:v>0.31968750000000001</c:v>
                </c:pt>
                <c:pt idx="95">
                  <c:v>0.315</c:v>
                </c:pt>
                <c:pt idx="96">
                  <c:v>0.31124999999999997</c:v>
                </c:pt>
                <c:pt idx="97">
                  <c:v>0.30656250000000002</c:v>
                </c:pt>
                <c:pt idx="98">
                  <c:v>0.301875</c:v>
                </c:pt>
                <c:pt idx="99">
                  <c:v>0.29812499999999997</c:v>
                </c:pt>
                <c:pt idx="100">
                  <c:v>0.29343749999999996</c:v>
                </c:pt>
                <c:pt idx="101">
                  <c:v>0.28968749999999999</c:v>
                </c:pt>
                <c:pt idx="102">
                  <c:v>0.28499999999999998</c:v>
                </c:pt>
                <c:pt idx="103">
                  <c:v>0.28031249999999996</c:v>
                </c:pt>
                <c:pt idx="104">
                  <c:v>0.27656249999999999</c:v>
                </c:pt>
                <c:pt idx="105">
                  <c:v>0.27187499999999998</c:v>
                </c:pt>
                <c:pt idx="106">
                  <c:v>0.268125</c:v>
                </c:pt>
                <c:pt idx="107">
                  <c:v>0.26343749999999999</c:v>
                </c:pt>
                <c:pt idx="108">
                  <c:v>0.25874999999999998</c:v>
                </c:pt>
                <c:pt idx="109">
                  <c:v>0.255</c:v>
                </c:pt>
                <c:pt idx="110">
                  <c:v>0.25124999999999997</c:v>
                </c:pt>
                <c:pt idx="111">
                  <c:v>0.24656249999999999</c:v>
                </c:pt>
                <c:pt idx="112">
                  <c:v>0.24187499999999998</c:v>
                </c:pt>
                <c:pt idx="113">
                  <c:v>0.238125</c:v>
                </c:pt>
                <c:pt idx="114">
                  <c:v>0.23343749999999999</c:v>
                </c:pt>
                <c:pt idx="115">
                  <c:v>0.22968749999999999</c:v>
                </c:pt>
                <c:pt idx="116">
                  <c:v>0.22593749999999999</c:v>
                </c:pt>
                <c:pt idx="117">
                  <c:v>0.22125</c:v>
                </c:pt>
                <c:pt idx="118">
                  <c:v>0.2175</c:v>
                </c:pt>
                <c:pt idx="119">
                  <c:v>0.21281249999999999</c:v>
                </c:pt>
                <c:pt idx="120">
                  <c:v>0.20906249999999998</c:v>
                </c:pt>
                <c:pt idx="121">
                  <c:v>0.20531249999999998</c:v>
                </c:pt>
                <c:pt idx="122">
                  <c:v>0.200625</c:v>
                </c:pt>
                <c:pt idx="123">
                  <c:v>0.19687499999999999</c:v>
                </c:pt>
                <c:pt idx="124">
                  <c:v>0.19312499999999999</c:v>
                </c:pt>
                <c:pt idx="125">
                  <c:v>0.18843749999999998</c:v>
                </c:pt>
                <c:pt idx="126">
                  <c:v>0.1846875</c:v>
                </c:pt>
                <c:pt idx="127">
                  <c:v>0.1809375</c:v>
                </c:pt>
                <c:pt idx="128">
                  <c:v>0.17624999999999999</c:v>
                </c:pt>
                <c:pt idx="129">
                  <c:v>0.17249999999999999</c:v>
                </c:pt>
                <c:pt idx="130">
                  <c:v>0.16874999999999998</c:v>
                </c:pt>
                <c:pt idx="131">
                  <c:v>0.1640625</c:v>
                </c:pt>
                <c:pt idx="132">
                  <c:v>0.1603125</c:v>
                </c:pt>
                <c:pt idx="133">
                  <c:v>0.15656249999999999</c:v>
                </c:pt>
                <c:pt idx="134">
                  <c:v>0.15281249999999999</c:v>
                </c:pt>
                <c:pt idx="135">
                  <c:v>0.14812500000000001</c:v>
                </c:pt>
                <c:pt idx="136">
                  <c:v>0.144375</c:v>
                </c:pt>
                <c:pt idx="137">
                  <c:v>0.140625</c:v>
                </c:pt>
                <c:pt idx="138">
                  <c:v>0.136875</c:v>
                </c:pt>
                <c:pt idx="139">
                  <c:v>0.13312499999999999</c:v>
                </c:pt>
                <c:pt idx="140">
                  <c:v>0.12843749999999998</c:v>
                </c:pt>
                <c:pt idx="141">
                  <c:v>0.12468749999999999</c:v>
                </c:pt>
                <c:pt idx="142">
                  <c:v>0.12093749999999999</c:v>
                </c:pt>
                <c:pt idx="143">
                  <c:v>0.1171875</c:v>
                </c:pt>
                <c:pt idx="144">
                  <c:v>0.11249999999999999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7-4737-823E-9CE8E631C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497736"/>
        <c:axId val="1439454216"/>
      </c:scatterChart>
      <c:valAx>
        <c:axId val="143949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54216"/>
        <c:crosses val="autoZero"/>
        <c:crossBetween val="midCat"/>
      </c:valAx>
      <c:valAx>
        <c:axId val="143945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97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Caoutchouc-Béton: Position sur l'axe -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Position (en m sur -Y)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Feuil1!$C$2:$C$154</c:f>
              <c:numCache>
                <c:formatCode>General</c:formatCode>
                <c:ptCount val="153"/>
                <c:pt idx="0">
                  <c:v>0</c:v>
                </c:pt>
                <c:pt idx="1">
                  <c:v>1.0416666666666599E-3</c:v>
                </c:pt>
                <c:pt idx="2">
                  <c:v>2.0833333333333298E-3</c:v>
                </c:pt>
                <c:pt idx="3">
                  <c:v>3.1250000000000002E-3</c:v>
                </c:pt>
                <c:pt idx="4">
                  <c:v>4.1666666666666597E-3</c:v>
                </c:pt>
                <c:pt idx="5">
                  <c:v>5.2083333333333296E-3</c:v>
                </c:pt>
                <c:pt idx="6">
                  <c:v>6.2500000000000003E-3</c:v>
                </c:pt>
                <c:pt idx="7">
                  <c:v>7.2916666666666598E-3</c:v>
                </c:pt>
                <c:pt idx="8">
                  <c:v>8.3333333333333297E-3</c:v>
                </c:pt>
                <c:pt idx="9">
                  <c:v>9.3749999999999997E-3</c:v>
                </c:pt>
                <c:pt idx="10">
                  <c:v>1.04166666666666E-2</c:v>
                </c:pt>
                <c:pt idx="11">
                  <c:v>1.14583333333333E-2</c:v>
                </c:pt>
                <c:pt idx="12">
                  <c:v>1.2500000000000001E-2</c:v>
                </c:pt>
                <c:pt idx="13">
                  <c:v>1.3541666666666599E-2</c:v>
                </c:pt>
                <c:pt idx="14">
                  <c:v>1.4583333333333301E-2</c:v>
                </c:pt>
                <c:pt idx="15">
                  <c:v>1.5625E-2</c:v>
                </c:pt>
                <c:pt idx="16">
                  <c:v>1.6666666666666601E-2</c:v>
                </c:pt>
                <c:pt idx="17">
                  <c:v>1.7708333333333302E-2</c:v>
                </c:pt>
                <c:pt idx="18">
                  <c:v>1.8749999999999999E-2</c:v>
                </c:pt>
                <c:pt idx="19">
                  <c:v>1.97916666666666E-2</c:v>
                </c:pt>
                <c:pt idx="20">
                  <c:v>2.0833333333333301E-2</c:v>
                </c:pt>
                <c:pt idx="21">
                  <c:v>2.1874999999999999E-2</c:v>
                </c:pt>
                <c:pt idx="22">
                  <c:v>2.2916666666666599E-2</c:v>
                </c:pt>
                <c:pt idx="23">
                  <c:v>2.39583333333333E-2</c:v>
                </c:pt>
                <c:pt idx="24">
                  <c:v>2.5000000000000001E-2</c:v>
                </c:pt>
                <c:pt idx="25">
                  <c:v>2.6041666666666598E-2</c:v>
                </c:pt>
                <c:pt idx="26">
                  <c:v>2.70833333333333E-2</c:v>
                </c:pt>
                <c:pt idx="27">
                  <c:v>2.8125000000000001E-2</c:v>
                </c:pt>
                <c:pt idx="28">
                  <c:v>2.9166666666666601E-2</c:v>
                </c:pt>
                <c:pt idx="29">
                  <c:v>3.0208333333333299E-2</c:v>
                </c:pt>
                <c:pt idx="30">
                  <c:v>3.125E-2</c:v>
                </c:pt>
                <c:pt idx="31">
                  <c:v>3.2291666666666601E-2</c:v>
                </c:pt>
                <c:pt idx="32">
                  <c:v>3.3333333333333298E-2</c:v>
                </c:pt>
                <c:pt idx="33">
                  <c:v>3.4375000000000003E-2</c:v>
                </c:pt>
                <c:pt idx="34">
                  <c:v>3.5416666666666603E-2</c:v>
                </c:pt>
                <c:pt idx="35">
                  <c:v>3.6458333333333301E-2</c:v>
                </c:pt>
                <c:pt idx="36">
                  <c:v>3.7499999999999999E-2</c:v>
                </c:pt>
                <c:pt idx="37">
                  <c:v>3.8541666666666599E-2</c:v>
                </c:pt>
                <c:pt idx="38">
                  <c:v>3.9583333333333297E-2</c:v>
                </c:pt>
                <c:pt idx="39">
                  <c:v>4.0625000000000001E-2</c:v>
                </c:pt>
                <c:pt idx="40">
                  <c:v>4.1666666666666602E-2</c:v>
                </c:pt>
                <c:pt idx="41">
                  <c:v>4.27083333333333E-2</c:v>
                </c:pt>
                <c:pt idx="42">
                  <c:v>4.3749999999999997E-2</c:v>
                </c:pt>
                <c:pt idx="43">
                  <c:v>4.4791666666666598E-2</c:v>
                </c:pt>
                <c:pt idx="44">
                  <c:v>4.5833333333333302E-2</c:v>
                </c:pt>
                <c:pt idx="45">
                  <c:v>4.6875E-2</c:v>
                </c:pt>
                <c:pt idx="46">
                  <c:v>4.7916666666666601E-2</c:v>
                </c:pt>
                <c:pt idx="47">
                  <c:v>4.8958333333333298E-2</c:v>
                </c:pt>
                <c:pt idx="48">
                  <c:v>0.05</c:v>
                </c:pt>
                <c:pt idx="49">
                  <c:v>5.1041666666666603E-2</c:v>
                </c:pt>
                <c:pt idx="50">
                  <c:v>5.2083333333333301E-2</c:v>
                </c:pt>
                <c:pt idx="51">
                  <c:v>5.3124999999999999E-2</c:v>
                </c:pt>
                <c:pt idx="52">
                  <c:v>5.4166666666666599E-2</c:v>
                </c:pt>
                <c:pt idx="53">
                  <c:v>5.5208333333333297E-2</c:v>
                </c:pt>
                <c:pt idx="54">
                  <c:v>5.6250000000000001E-2</c:v>
                </c:pt>
                <c:pt idx="55">
                  <c:v>5.7291666666666602E-2</c:v>
                </c:pt>
                <c:pt idx="56">
                  <c:v>5.83333333333333E-2</c:v>
                </c:pt>
                <c:pt idx="57">
                  <c:v>5.9374999999999997E-2</c:v>
                </c:pt>
                <c:pt idx="58">
                  <c:v>6.0416666666666598E-2</c:v>
                </c:pt>
                <c:pt idx="59">
                  <c:v>6.1458333333333302E-2</c:v>
                </c:pt>
                <c:pt idx="60">
                  <c:v>6.25E-2</c:v>
                </c:pt>
                <c:pt idx="61">
                  <c:v>6.3541666666666594E-2</c:v>
                </c:pt>
                <c:pt idx="62">
                  <c:v>6.4583333333333298E-2</c:v>
                </c:pt>
                <c:pt idx="63">
                  <c:v>6.5625000000000003E-2</c:v>
                </c:pt>
                <c:pt idx="64">
                  <c:v>6.6666666666666596E-2</c:v>
                </c:pt>
                <c:pt idx="65">
                  <c:v>6.7708333333333301E-2</c:v>
                </c:pt>
                <c:pt idx="66">
                  <c:v>6.8750000000000006E-2</c:v>
                </c:pt>
                <c:pt idx="67">
                  <c:v>6.9791666666666599E-2</c:v>
                </c:pt>
                <c:pt idx="68">
                  <c:v>7.0833333333333304E-2</c:v>
                </c:pt>
                <c:pt idx="69">
                  <c:v>7.1874999999999994E-2</c:v>
                </c:pt>
                <c:pt idx="70">
                  <c:v>7.2916666666666602E-2</c:v>
                </c:pt>
                <c:pt idx="71">
                  <c:v>7.3958333333333307E-2</c:v>
                </c:pt>
                <c:pt idx="72">
                  <c:v>7.4999999999999997E-2</c:v>
                </c:pt>
                <c:pt idx="73">
                  <c:v>7.6041666666666605E-2</c:v>
                </c:pt>
                <c:pt idx="74">
                  <c:v>7.7083333333333295E-2</c:v>
                </c:pt>
                <c:pt idx="75">
                  <c:v>7.8125E-2</c:v>
                </c:pt>
                <c:pt idx="76">
                  <c:v>7.9166666666666594E-2</c:v>
                </c:pt>
                <c:pt idx="77">
                  <c:v>8.0208333333333298E-2</c:v>
                </c:pt>
                <c:pt idx="78">
                  <c:v>8.1250000000000003E-2</c:v>
                </c:pt>
                <c:pt idx="79">
                  <c:v>8.2291666666666596E-2</c:v>
                </c:pt>
                <c:pt idx="80">
                  <c:v>8.3333333333333301E-2</c:v>
                </c:pt>
                <c:pt idx="81">
                  <c:v>8.4375000000000006E-2</c:v>
                </c:pt>
                <c:pt idx="82">
                  <c:v>8.5416666666666599E-2</c:v>
                </c:pt>
                <c:pt idx="83">
                  <c:v>8.6458333333333304E-2</c:v>
                </c:pt>
                <c:pt idx="84">
                  <c:v>8.7499999999999994E-2</c:v>
                </c:pt>
                <c:pt idx="85">
                  <c:v>8.8541666666666602E-2</c:v>
                </c:pt>
                <c:pt idx="86">
                  <c:v>8.9583333333333307E-2</c:v>
                </c:pt>
                <c:pt idx="87">
                  <c:v>9.0624999999999997E-2</c:v>
                </c:pt>
                <c:pt idx="88">
                  <c:v>9.1666666666666605E-2</c:v>
                </c:pt>
                <c:pt idx="89">
                  <c:v>9.2708333333333295E-2</c:v>
                </c:pt>
                <c:pt idx="90">
                  <c:v>9.375E-2</c:v>
                </c:pt>
                <c:pt idx="91">
                  <c:v>9.4791666666666594E-2</c:v>
                </c:pt>
                <c:pt idx="92">
                  <c:v>9.5833333333333298E-2</c:v>
                </c:pt>
                <c:pt idx="93">
                  <c:v>9.6875000000000003E-2</c:v>
                </c:pt>
                <c:pt idx="94">
                  <c:v>9.7916666666666596E-2</c:v>
                </c:pt>
                <c:pt idx="95">
                  <c:v>9.8958333333333301E-2</c:v>
                </c:pt>
                <c:pt idx="96">
                  <c:v>0.1</c:v>
                </c:pt>
                <c:pt idx="97">
                  <c:v>0.101041666666666</c:v>
                </c:pt>
                <c:pt idx="98">
                  <c:v>0.102083333333333</c:v>
                </c:pt>
                <c:pt idx="99">
                  <c:v>0.10312499999999999</c:v>
                </c:pt>
                <c:pt idx="100">
                  <c:v>0.10416666666666601</c:v>
                </c:pt>
                <c:pt idx="101">
                  <c:v>0.105208333333333</c:v>
                </c:pt>
                <c:pt idx="102">
                  <c:v>0.10625</c:v>
                </c:pt>
                <c:pt idx="103">
                  <c:v>0.10729166666666599</c:v>
                </c:pt>
                <c:pt idx="104">
                  <c:v>0.108333333333333</c:v>
                </c:pt>
                <c:pt idx="105">
                  <c:v>0.109375</c:v>
                </c:pt>
                <c:pt idx="106">
                  <c:v>0.110416666666666</c:v>
                </c:pt>
                <c:pt idx="107">
                  <c:v>0.11145833333333301</c:v>
                </c:pt>
                <c:pt idx="108">
                  <c:v>0.1125</c:v>
                </c:pt>
                <c:pt idx="109">
                  <c:v>0.113541666666666</c:v>
                </c:pt>
                <c:pt idx="110">
                  <c:v>0.114583333333333</c:v>
                </c:pt>
                <c:pt idx="111">
                  <c:v>0.11562500000000001</c:v>
                </c:pt>
                <c:pt idx="112">
                  <c:v>0.116666666666666</c:v>
                </c:pt>
                <c:pt idx="113">
                  <c:v>0.117708333333333</c:v>
                </c:pt>
                <c:pt idx="114">
                  <c:v>0.11874999999999999</c:v>
                </c:pt>
                <c:pt idx="115">
                  <c:v>0.11979166666666601</c:v>
                </c:pt>
                <c:pt idx="116">
                  <c:v>0.120833333333333</c:v>
                </c:pt>
                <c:pt idx="117">
                  <c:v>0.121875</c:v>
                </c:pt>
                <c:pt idx="118">
                  <c:v>0.12291666666666599</c:v>
                </c:pt>
                <c:pt idx="119">
                  <c:v>0.123958333333333</c:v>
                </c:pt>
                <c:pt idx="120">
                  <c:v>0.125</c:v>
                </c:pt>
                <c:pt idx="121">
                  <c:v>0.126041666666666</c:v>
                </c:pt>
                <c:pt idx="122">
                  <c:v>0.12708333333333299</c:v>
                </c:pt>
                <c:pt idx="123">
                  <c:v>0.12812499999999999</c:v>
                </c:pt>
                <c:pt idx="124">
                  <c:v>0.12916666666666601</c:v>
                </c:pt>
                <c:pt idx="125">
                  <c:v>0.13020833333333301</c:v>
                </c:pt>
                <c:pt idx="126">
                  <c:v>0.13125000000000001</c:v>
                </c:pt>
                <c:pt idx="127">
                  <c:v>0.132291666666666</c:v>
                </c:pt>
                <c:pt idx="128">
                  <c:v>0.133333333333333</c:v>
                </c:pt>
                <c:pt idx="129">
                  <c:v>0.13437499999999999</c:v>
                </c:pt>
                <c:pt idx="130">
                  <c:v>0.13541666666666599</c:v>
                </c:pt>
                <c:pt idx="131">
                  <c:v>0.13645833333333299</c:v>
                </c:pt>
                <c:pt idx="132">
                  <c:v>0.13750000000000001</c:v>
                </c:pt>
                <c:pt idx="133">
                  <c:v>0.13854166666666601</c:v>
                </c:pt>
                <c:pt idx="134">
                  <c:v>0.139583333333333</c:v>
                </c:pt>
                <c:pt idx="135">
                  <c:v>0.140625</c:v>
                </c:pt>
                <c:pt idx="136">
                  <c:v>0.141666666666666</c:v>
                </c:pt>
                <c:pt idx="137">
                  <c:v>0.14270833333333299</c:v>
                </c:pt>
                <c:pt idx="138">
                  <c:v>0.14374999999999999</c:v>
                </c:pt>
                <c:pt idx="139">
                  <c:v>0.14479166666666601</c:v>
                </c:pt>
                <c:pt idx="140">
                  <c:v>0.14583333333333301</c:v>
                </c:pt>
                <c:pt idx="141">
                  <c:v>0.14687500000000001</c:v>
                </c:pt>
                <c:pt idx="142">
                  <c:v>0.147916666666666</c:v>
                </c:pt>
                <c:pt idx="143">
                  <c:v>0.148958333333333</c:v>
                </c:pt>
                <c:pt idx="144">
                  <c:v>0.15</c:v>
                </c:pt>
                <c:pt idx="145">
                  <c:v>0.15104166666666599</c:v>
                </c:pt>
                <c:pt idx="146">
                  <c:v>0.15208333333333299</c:v>
                </c:pt>
                <c:pt idx="147">
                  <c:v>0.15312500000000001</c:v>
                </c:pt>
                <c:pt idx="148">
                  <c:v>0.15416666666666601</c:v>
                </c:pt>
                <c:pt idx="149">
                  <c:v>0.155208333333333</c:v>
                </c:pt>
                <c:pt idx="150">
                  <c:v>0.15625</c:v>
                </c:pt>
                <c:pt idx="151">
                  <c:v>0.157291666666666</c:v>
                </c:pt>
                <c:pt idx="152">
                  <c:v>0.15833333333333299</c:v>
                </c:pt>
              </c:numCache>
            </c:numRef>
          </c:xVal>
          <c:yVal>
            <c:numRef>
              <c:f>Feuil1!$D$2:$D$154</c:f>
              <c:numCache>
                <c:formatCode>General</c:formatCode>
                <c:ptCount val="153"/>
                <c:pt idx="0">
                  <c:v>0.11223999999999999</c:v>
                </c:pt>
                <c:pt idx="1">
                  <c:v>0.116144</c:v>
                </c:pt>
                <c:pt idx="2">
                  <c:v>0.12102400000000001</c:v>
                </c:pt>
                <c:pt idx="3">
                  <c:v>0.12590399999999999</c:v>
                </c:pt>
                <c:pt idx="4">
                  <c:v>0.13078399999999998</c:v>
                </c:pt>
                <c:pt idx="5">
                  <c:v>0.13566399999999998</c:v>
                </c:pt>
                <c:pt idx="6">
                  <c:v>0.14054399999999997</c:v>
                </c:pt>
                <c:pt idx="7">
                  <c:v>0.145424</c:v>
                </c:pt>
                <c:pt idx="8">
                  <c:v>0.15030399999999999</c:v>
                </c:pt>
                <c:pt idx="9">
                  <c:v>0.15518399999999999</c:v>
                </c:pt>
                <c:pt idx="10">
                  <c:v>0.15908800000000001</c:v>
                </c:pt>
                <c:pt idx="11">
                  <c:v>0.163968</c:v>
                </c:pt>
                <c:pt idx="12">
                  <c:v>0.168848</c:v>
                </c:pt>
                <c:pt idx="13">
                  <c:v>0.17372800000000002</c:v>
                </c:pt>
                <c:pt idx="14">
                  <c:v>0.17860800000000002</c:v>
                </c:pt>
                <c:pt idx="15">
                  <c:v>0.18348800000000001</c:v>
                </c:pt>
                <c:pt idx="16">
                  <c:v>0.18836800000000001</c:v>
                </c:pt>
                <c:pt idx="17">
                  <c:v>0.193248</c:v>
                </c:pt>
                <c:pt idx="18">
                  <c:v>0.198128</c:v>
                </c:pt>
                <c:pt idx="19">
                  <c:v>0.20300799999999999</c:v>
                </c:pt>
                <c:pt idx="20">
                  <c:v>0.20788800000000002</c:v>
                </c:pt>
                <c:pt idx="21">
                  <c:v>0.21276800000000001</c:v>
                </c:pt>
                <c:pt idx="22">
                  <c:v>0.21862399999999999</c:v>
                </c:pt>
                <c:pt idx="23">
                  <c:v>0.22350399999999998</c:v>
                </c:pt>
                <c:pt idx="24">
                  <c:v>0.22838399999999998</c:v>
                </c:pt>
                <c:pt idx="25">
                  <c:v>0.23326399999999997</c:v>
                </c:pt>
                <c:pt idx="26">
                  <c:v>0.23814399999999999</c:v>
                </c:pt>
                <c:pt idx="27">
                  <c:v>0.24302399999999999</c:v>
                </c:pt>
                <c:pt idx="28">
                  <c:v>0.24790399999999999</c:v>
                </c:pt>
                <c:pt idx="29">
                  <c:v>0.25278400000000001</c:v>
                </c:pt>
                <c:pt idx="30">
                  <c:v>0.257664</c:v>
                </c:pt>
                <c:pt idx="31">
                  <c:v>0.26351999999999998</c:v>
                </c:pt>
                <c:pt idx="32">
                  <c:v>0.26839999999999997</c:v>
                </c:pt>
                <c:pt idx="33">
                  <c:v>0.27327999999999997</c:v>
                </c:pt>
                <c:pt idx="34">
                  <c:v>0.27815999999999996</c:v>
                </c:pt>
                <c:pt idx="35">
                  <c:v>0.28304000000000001</c:v>
                </c:pt>
                <c:pt idx="36">
                  <c:v>0.28889600000000004</c:v>
                </c:pt>
                <c:pt idx="37">
                  <c:v>0.29377600000000004</c:v>
                </c:pt>
                <c:pt idx="38">
                  <c:v>0.29865600000000003</c:v>
                </c:pt>
                <c:pt idx="39">
                  <c:v>0.30353600000000003</c:v>
                </c:pt>
                <c:pt idx="40">
                  <c:v>0.30841600000000002</c:v>
                </c:pt>
                <c:pt idx="41">
                  <c:v>0.314272</c:v>
                </c:pt>
                <c:pt idx="42">
                  <c:v>0.31915199999999999</c:v>
                </c:pt>
                <c:pt idx="43">
                  <c:v>0.32403199999999999</c:v>
                </c:pt>
                <c:pt idx="44">
                  <c:v>0.32988799999999996</c:v>
                </c:pt>
                <c:pt idx="45">
                  <c:v>0.33476799999999995</c:v>
                </c:pt>
                <c:pt idx="46">
                  <c:v>0.34062399999999998</c:v>
                </c:pt>
                <c:pt idx="47">
                  <c:v>0.34550400000000003</c:v>
                </c:pt>
                <c:pt idx="48">
                  <c:v>0.35038400000000003</c:v>
                </c:pt>
                <c:pt idx="49">
                  <c:v>0.35526400000000002</c:v>
                </c:pt>
                <c:pt idx="50">
                  <c:v>0.36112</c:v>
                </c:pt>
                <c:pt idx="51">
                  <c:v>0.36599999999999999</c:v>
                </c:pt>
                <c:pt idx="52">
                  <c:v>0.37185600000000002</c:v>
                </c:pt>
                <c:pt idx="53">
                  <c:v>0.37673600000000002</c:v>
                </c:pt>
                <c:pt idx="54">
                  <c:v>0.38259199999999999</c:v>
                </c:pt>
                <c:pt idx="55">
                  <c:v>0.38747199999999998</c:v>
                </c:pt>
                <c:pt idx="56">
                  <c:v>0.39235199999999998</c:v>
                </c:pt>
                <c:pt idx="57">
                  <c:v>0.39820799999999995</c:v>
                </c:pt>
                <c:pt idx="58">
                  <c:v>0.40308799999999995</c:v>
                </c:pt>
                <c:pt idx="59">
                  <c:v>0.40894400000000003</c:v>
                </c:pt>
                <c:pt idx="60">
                  <c:v>0.41382400000000003</c:v>
                </c:pt>
                <c:pt idx="61">
                  <c:v>0.41968</c:v>
                </c:pt>
                <c:pt idx="62">
                  <c:v>0.42455999999999999</c:v>
                </c:pt>
                <c:pt idx="63">
                  <c:v>0.43041600000000002</c:v>
                </c:pt>
                <c:pt idx="64">
                  <c:v>0.43529600000000002</c:v>
                </c:pt>
                <c:pt idx="65">
                  <c:v>0.44115199999999999</c:v>
                </c:pt>
                <c:pt idx="66">
                  <c:v>0.44603199999999998</c:v>
                </c:pt>
                <c:pt idx="67">
                  <c:v>0.45091199999999998</c:v>
                </c:pt>
                <c:pt idx="68">
                  <c:v>0.45383999999999997</c:v>
                </c:pt>
                <c:pt idx="69">
                  <c:v>0.45579199999999997</c:v>
                </c:pt>
                <c:pt idx="70">
                  <c:v>0.45579199999999997</c:v>
                </c:pt>
                <c:pt idx="71">
                  <c:v>0.45383999999999997</c:v>
                </c:pt>
                <c:pt idx="72">
                  <c:v>0.45091199999999998</c:v>
                </c:pt>
                <c:pt idx="73">
                  <c:v>0.44700799999999996</c:v>
                </c:pt>
                <c:pt idx="74">
                  <c:v>0.443104</c:v>
                </c:pt>
                <c:pt idx="75">
                  <c:v>0.438224</c:v>
                </c:pt>
                <c:pt idx="76">
                  <c:v>0.43334400000000001</c:v>
                </c:pt>
                <c:pt idx="77">
                  <c:v>0.42846400000000001</c:v>
                </c:pt>
                <c:pt idx="78">
                  <c:v>0.42455999999999999</c:v>
                </c:pt>
                <c:pt idx="79">
                  <c:v>0.41968</c:v>
                </c:pt>
                <c:pt idx="80">
                  <c:v>0.4148</c:v>
                </c:pt>
                <c:pt idx="81">
                  <c:v>0.41089600000000004</c:v>
                </c:pt>
                <c:pt idx="82">
                  <c:v>0.40601599999999999</c:v>
                </c:pt>
                <c:pt idx="83">
                  <c:v>0.40211199999999997</c:v>
                </c:pt>
                <c:pt idx="84">
                  <c:v>0.39723199999999997</c:v>
                </c:pt>
                <c:pt idx="85">
                  <c:v>0.39235199999999998</c:v>
                </c:pt>
                <c:pt idx="86">
                  <c:v>0.38844799999999996</c:v>
                </c:pt>
                <c:pt idx="87">
                  <c:v>0.38356799999999996</c:v>
                </c:pt>
                <c:pt idx="88">
                  <c:v>0.379664</c:v>
                </c:pt>
                <c:pt idx="89">
                  <c:v>0.37478400000000001</c:v>
                </c:pt>
                <c:pt idx="90">
                  <c:v>0.36990400000000001</c:v>
                </c:pt>
                <c:pt idx="91">
                  <c:v>0.36599999999999999</c:v>
                </c:pt>
                <c:pt idx="92">
                  <c:v>0.36112</c:v>
                </c:pt>
                <c:pt idx="93">
                  <c:v>0.35721600000000003</c:v>
                </c:pt>
                <c:pt idx="94">
                  <c:v>0.35233600000000004</c:v>
                </c:pt>
                <c:pt idx="95">
                  <c:v>0.34843200000000002</c:v>
                </c:pt>
                <c:pt idx="96">
                  <c:v>0.34355200000000002</c:v>
                </c:pt>
                <c:pt idx="97">
                  <c:v>0.33964799999999995</c:v>
                </c:pt>
                <c:pt idx="98">
                  <c:v>0.33574399999999999</c:v>
                </c:pt>
                <c:pt idx="99">
                  <c:v>0.33086399999999999</c:v>
                </c:pt>
                <c:pt idx="100">
                  <c:v>0.32695999999999997</c:v>
                </c:pt>
                <c:pt idx="101">
                  <c:v>0.32207999999999998</c:v>
                </c:pt>
                <c:pt idx="102">
                  <c:v>0.31817600000000001</c:v>
                </c:pt>
                <c:pt idx="103">
                  <c:v>0.31329600000000002</c:v>
                </c:pt>
                <c:pt idx="104">
                  <c:v>0.309392</c:v>
                </c:pt>
                <c:pt idx="105">
                  <c:v>0.30548799999999998</c:v>
                </c:pt>
                <c:pt idx="106">
                  <c:v>0.30060799999999999</c:v>
                </c:pt>
                <c:pt idx="107">
                  <c:v>0.29670400000000002</c:v>
                </c:pt>
                <c:pt idx="108">
                  <c:v>0.2928</c:v>
                </c:pt>
                <c:pt idx="109">
                  <c:v>0.28792000000000001</c:v>
                </c:pt>
                <c:pt idx="110">
                  <c:v>0.28401600000000005</c:v>
                </c:pt>
                <c:pt idx="111">
                  <c:v>0.27913599999999994</c:v>
                </c:pt>
                <c:pt idx="112">
                  <c:v>0.27523199999999998</c:v>
                </c:pt>
                <c:pt idx="113">
                  <c:v>0.27132799999999996</c:v>
                </c:pt>
                <c:pt idx="114">
                  <c:v>0.26644799999999996</c:v>
                </c:pt>
                <c:pt idx="115">
                  <c:v>0.262544</c:v>
                </c:pt>
                <c:pt idx="116">
                  <c:v>0.25863999999999998</c:v>
                </c:pt>
                <c:pt idx="117">
                  <c:v>0.25375999999999999</c:v>
                </c:pt>
                <c:pt idx="118">
                  <c:v>0.24985599999999999</c:v>
                </c:pt>
                <c:pt idx="119">
                  <c:v>0.245952</c:v>
                </c:pt>
                <c:pt idx="120">
                  <c:v>0.24204800000000001</c:v>
                </c:pt>
                <c:pt idx="121">
                  <c:v>0.23716800000000002</c:v>
                </c:pt>
                <c:pt idx="122">
                  <c:v>0.23326399999999997</c:v>
                </c:pt>
                <c:pt idx="123">
                  <c:v>0.22935999999999998</c:v>
                </c:pt>
                <c:pt idx="124">
                  <c:v>0.22545599999999999</c:v>
                </c:pt>
                <c:pt idx="125">
                  <c:v>0.22057599999999999</c:v>
                </c:pt>
                <c:pt idx="126">
                  <c:v>0.216672</c:v>
                </c:pt>
                <c:pt idx="127">
                  <c:v>0.21276800000000001</c:v>
                </c:pt>
                <c:pt idx="128">
                  <c:v>0.20886399999999999</c:v>
                </c:pt>
                <c:pt idx="129">
                  <c:v>0.20496</c:v>
                </c:pt>
                <c:pt idx="130">
                  <c:v>0.20007999999999998</c:v>
                </c:pt>
                <c:pt idx="131">
                  <c:v>0.19617599999999999</c:v>
                </c:pt>
                <c:pt idx="132">
                  <c:v>0.192272</c:v>
                </c:pt>
                <c:pt idx="133">
                  <c:v>0.18836800000000001</c:v>
                </c:pt>
                <c:pt idx="134">
                  <c:v>0.18446399999999999</c:v>
                </c:pt>
                <c:pt idx="135">
                  <c:v>0.18056</c:v>
                </c:pt>
                <c:pt idx="136">
                  <c:v>0.17665600000000001</c:v>
                </c:pt>
                <c:pt idx="137">
                  <c:v>0.17275200000000002</c:v>
                </c:pt>
                <c:pt idx="138">
                  <c:v>0.16787199999999999</c:v>
                </c:pt>
                <c:pt idx="139">
                  <c:v>0.163968</c:v>
                </c:pt>
                <c:pt idx="140">
                  <c:v>0.16006399999999998</c:v>
                </c:pt>
                <c:pt idx="141">
                  <c:v>0.15615999999999999</c:v>
                </c:pt>
                <c:pt idx="142">
                  <c:v>0.152256</c:v>
                </c:pt>
                <c:pt idx="143">
                  <c:v>0.14835200000000001</c:v>
                </c:pt>
                <c:pt idx="144">
                  <c:v>0.14444800000000002</c:v>
                </c:pt>
                <c:pt idx="145">
                  <c:v>0.14054399999999997</c:v>
                </c:pt>
                <c:pt idx="146">
                  <c:v>0.13663999999999998</c:v>
                </c:pt>
                <c:pt idx="147">
                  <c:v>0.13273599999999999</c:v>
                </c:pt>
                <c:pt idx="148">
                  <c:v>0.128832</c:v>
                </c:pt>
                <c:pt idx="149">
                  <c:v>0.124928</c:v>
                </c:pt>
                <c:pt idx="150">
                  <c:v>0.12102400000000001</c:v>
                </c:pt>
                <c:pt idx="151">
                  <c:v>0.11712</c:v>
                </c:pt>
                <c:pt idx="152">
                  <c:v>0.113216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3-4926-AD09-9E2F0DCAC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39720"/>
        <c:axId val="1737142280"/>
      </c:scatterChart>
      <c:valAx>
        <c:axId val="36433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42280"/>
        <c:crosses val="autoZero"/>
        <c:crossBetween val="midCat"/>
      </c:valAx>
      <c:valAx>
        <c:axId val="173714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39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Caoutchouc-Béton: Vitesse en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Vitesse (m/s)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Feuil1!$B$2:$B$154</c:f>
              <c:numCache>
                <c:formatCode>General</c:formatCode>
                <c:ptCount val="153"/>
                <c:pt idx="1">
                  <c:v>3.7478400000000289</c:v>
                </c:pt>
                <c:pt idx="2">
                  <c:v>4.6847999999999947</c:v>
                </c:pt>
                <c:pt idx="3">
                  <c:v>4.6847999999999654</c:v>
                </c:pt>
                <c:pt idx="4">
                  <c:v>4.6848000000000276</c:v>
                </c:pt>
                <c:pt idx="5">
                  <c:v>4.6847999999999814</c:v>
                </c:pt>
                <c:pt idx="6">
                  <c:v>4.684799999999977</c:v>
                </c:pt>
                <c:pt idx="7">
                  <c:v>4.6848000000000543</c:v>
                </c:pt>
                <c:pt idx="8">
                  <c:v>4.6847999999999814</c:v>
                </c:pt>
                <c:pt idx="9">
                  <c:v>4.6847999999999814</c:v>
                </c:pt>
                <c:pt idx="10">
                  <c:v>3.7478400000002559</c:v>
                </c:pt>
                <c:pt idx="11">
                  <c:v>4.6847999999998482</c:v>
                </c:pt>
                <c:pt idx="12">
                  <c:v>4.6847999999998402</c:v>
                </c:pt>
                <c:pt idx="13">
                  <c:v>4.6848000000003278</c:v>
                </c:pt>
                <c:pt idx="14">
                  <c:v>4.6847999999998402</c:v>
                </c:pt>
                <c:pt idx="15">
                  <c:v>4.6847999999998482</c:v>
                </c:pt>
                <c:pt idx="16">
                  <c:v>4.6848000000002932</c:v>
                </c:pt>
                <c:pt idx="17">
                  <c:v>4.6847999999998402</c:v>
                </c:pt>
                <c:pt idx="18">
                  <c:v>4.6847999999998562</c:v>
                </c:pt>
                <c:pt idx="19">
                  <c:v>4.6848000000002932</c:v>
                </c:pt>
                <c:pt idx="20">
                  <c:v>4.6847999999998668</c:v>
                </c:pt>
                <c:pt idx="21">
                  <c:v>4.6847999999998562</c:v>
                </c:pt>
                <c:pt idx="22">
                  <c:v>5.6217600000003305</c:v>
                </c:pt>
                <c:pt idx="23">
                  <c:v>4.6847999999998402</c:v>
                </c:pt>
                <c:pt idx="24">
                  <c:v>4.6847999999998402</c:v>
                </c:pt>
                <c:pt idx="25">
                  <c:v>4.6848000000003092</c:v>
                </c:pt>
                <c:pt idx="26">
                  <c:v>4.6847999999998668</c:v>
                </c:pt>
                <c:pt idx="27">
                  <c:v>4.6847999999998402</c:v>
                </c:pt>
                <c:pt idx="28">
                  <c:v>4.6848000000002932</c:v>
                </c:pt>
                <c:pt idx="29">
                  <c:v>4.6847999999998828</c:v>
                </c:pt>
                <c:pt idx="30">
                  <c:v>4.6847999999998402</c:v>
                </c:pt>
                <c:pt idx="31">
                  <c:v>5.6217600000003305</c:v>
                </c:pt>
                <c:pt idx="32">
                  <c:v>4.6847999999998562</c:v>
                </c:pt>
                <c:pt idx="33">
                  <c:v>4.6847999999998251</c:v>
                </c:pt>
                <c:pt idx="34">
                  <c:v>4.6848000000002932</c:v>
                </c:pt>
                <c:pt idx="35">
                  <c:v>4.6847999999999095</c:v>
                </c:pt>
                <c:pt idx="36">
                  <c:v>5.6217599999998598</c:v>
                </c:pt>
                <c:pt idx="37">
                  <c:v>4.6848000000002932</c:v>
                </c:pt>
                <c:pt idx="38">
                  <c:v>4.6847999999998562</c:v>
                </c:pt>
                <c:pt idx="39">
                  <c:v>4.6847999999998251</c:v>
                </c:pt>
                <c:pt idx="40">
                  <c:v>4.6848000000002932</c:v>
                </c:pt>
                <c:pt idx="41">
                  <c:v>5.6217599999998065</c:v>
                </c:pt>
                <c:pt idx="42">
                  <c:v>4.6847999999998562</c:v>
                </c:pt>
                <c:pt idx="43">
                  <c:v>4.6848000000002932</c:v>
                </c:pt>
                <c:pt idx="44">
                  <c:v>5.6217599999997692</c:v>
                </c:pt>
                <c:pt idx="45">
                  <c:v>4.6847999999998562</c:v>
                </c:pt>
                <c:pt idx="46">
                  <c:v>5.6217600000003838</c:v>
                </c:pt>
                <c:pt idx="47">
                  <c:v>4.6847999999999095</c:v>
                </c:pt>
                <c:pt idx="48">
                  <c:v>4.6847999999998251</c:v>
                </c:pt>
                <c:pt idx="49">
                  <c:v>4.6848000000002932</c:v>
                </c:pt>
                <c:pt idx="50">
                  <c:v>5.6217599999998065</c:v>
                </c:pt>
                <c:pt idx="51">
                  <c:v>4.6847999999998562</c:v>
                </c:pt>
                <c:pt idx="52">
                  <c:v>5.6217600000003838</c:v>
                </c:pt>
                <c:pt idx="53">
                  <c:v>4.6847999999998562</c:v>
                </c:pt>
                <c:pt idx="54">
                  <c:v>5.6217599999997692</c:v>
                </c:pt>
                <c:pt idx="55">
                  <c:v>4.6848000000002932</c:v>
                </c:pt>
                <c:pt idx="56">
                  <c:v>4.6847999999998562</c:v>
                </c:pt>
                <c:pt idx="57">
                  <c:v>5.6217599999998065</c:v>
                </c:pt>
                <c:pt idx="58">
                  <c:v>4.6848000000002932</c:v>
                </c:pt>
                <c:pt idx="59">
                  <c:v>5.6217599999998757</c:v>
                </c:pt>
                <c:pt idx="60">
                  <c:v>4.6847999999998562</c:v>
                </c:pt>
                <c:pt idx="61">
                  <c:v>5.6217600000003678</c:v>
                </c:pt>
                <c:pt idx="62">
                  <c:v>4.6847999999998251</c:v>
                </c:pt>
                <c:pt idx="63">
                  <c:v>5.6217599999998225</c:v>
                </c:pt>
                <c:pt idx="64">
                  <c:v>4.6848000000003243</c:v>
                </c:pt>
                <c:pt idx="65">
                  <c:v>5.6217599999997692</c:v>
                </c:pt>
                <c:pt idx="66">
                  <c:v>4.6847999999998251</c:v>
                </c:pt>
                <c:pt idx="67">
                  <c:v>4.6848000000003243</c:v>
                </c:pt>
                <c:pt idx="68">
                  <c:v>2.8108799999998846</c:v>
                </c:pt>
                <c:pt idx="69">
                  <c:v>1.8739199999999656</c:v>
                </c:pt>
                <c:pt idx="70">
                  <c:v>0</c:v>
                </c:pt>
                <c:pt idx="71">
                  <c:v>-1.8739199999999407</c:v>
                </c:pt>
                <c:pt idx="72">
                  <c:v>-2.8108799999999219</c:v>
                </c:pt>
                <c:pt idx="73">
                  <c:v>-3.747840000000231</c:v>
                </c:pt>
                <c:pt idx="74">
                  <c:v>-3.7478399999998779</c:v>
                </c:pt>
                <c:pt idx="75">
                  <c:v>-4.6847999999998251</c:v>
                </c:pt>
                <c:pt idx="76">
                  <c:v>-4.6848000000003243</c:v>
                </c:pt>
                <c:pt idx="77">
                  <c:v>-4.6847999999998251</c:v>
                </c:pt>
                <c:pt idx="78">
                  <c:v>-3.7478399999998815</c:v>
                </c:pt>
                <c:pt idx="79">
                  <c:v>-4.6848000000003243</c:v>
                </c:pt>
                <c:pt idx="80">
                  <c:v>-4.6847999999998251</c:v>
                </c:pt>
                <c:pt idx="81">
                  <c:v>-3.7478399999998282</c:v>
                </c:pt>
                <c:pt idx="82">
                  <c:v>-4.6848000000003776</c:v>
                </c:pt>
                <c:pt idx="83">
                  <c:v>-3.7478399999998815</c:v>
                </c:pt>
                <c:pt idx="84">
                  <c:v>-4.6847999999998873</c:v>
                </c:pt>
                <c:pt idx="85">
                  <c:v>-4.6848000000002621</c:v>
                </c:pt>
                <c:pt idx="86">
                  <c:v>-3.7478399999998815</c:v>
                </c:pt>
                <c:pt idx="87">
                  <c:v>-4.6847999999998873</c:v>
                </c:pt>
                <c:pt idx="88">
                  <c:v>-3.7478400000001777</c:v>
                </c:pt>
                <c:pt idx="89">
                  <c:v>-4.6847999999998873</c:v>
                </c:pt>
                <c:pt idx="90">
                  <c:v>-4.6847999999998251</c:v>
                </c:pt>
                <c:pt idx="91">
                  <c:v>-3.7478400000002807</c:v>
                </c:pt>
                <c:pt idx="92">
                  <c:v>-4.6847999999998251</c:v>
                </c:pt>
                <c:pt idx="93">
                  <c:v>-3.7478399999998282</c:v>
                </c:pt>
                <c:pt idx="94">
                  <c:v>-4.6848000000003243</c:v>
                </c:pt>
                <c:pt idx="95">
                  <c:v>-3.7478399999998815</c:v>
                </c:pt>
                <c:pt idx="96">
                  <c:v>-4.6847999999998251</c:v>
                </c:pt>
                <c:pt idx="97">
                  <c:v>-3.7478400000024812</c:v>
                </c:pt>
                <c:pt idx="98">
                  <c:v>-3.7478399999987797</c:v>
                </c:pt>
                <c:pt idx="99">
                  <c:v>-4.6847999999985142</c:v>
                </c:pt>
                <c:pt idx="100">
                  <c:v>-3.7478400000023777</c:v>
                </c:pt>
                <c:pt idx="101">
                  <c:v>-4.6847999999985142</c:v>
                </c:pt>
                <c:pt idx="102">
                  <c:v>-3.7478399999987797</c:v>
                </c:pt>
                <c:pt idx="103">
                  <c:v>-4.6848000000030083</c:v>
                </c:pt>
                <c:pt idx="104">
                  <c:v>-3.7478399999987828</c:v>
                </c:pt>
                <c:pt idx="105">
                  <c:v>-3.747839999998833</c:v>
                </c:pt>
                <c:pt idx="106">
                  <c:v>-4.6848000000030083</c:v>
                </c:pt>
                <c:pt idx="107">
                  <c:v>-3.7478399999987295</c:v>
                </c:pt>
                <c:pt idx="108">
                  <c:v>-3.747839999998833</c:v>
                </c:pt>
                <c:pt idx="109">
                  <c:v>-4.6848000000030083</c:v>
                </c:pt>
                <c:pt idx="110">
                  <c:v>-3.7478399999987797</c:v>
                </c:pt>
                <c:pt idx="111">
                  <c:v>-4.6847999999985586</c:v>
                </c:pt>
                <c:pt idx="112">
                  <c:v>-3.7478400000023746</c:v>
                </c:pt>
                <c:pt idx="113">
                  <c:v>-3.747839999998833</c:v>
                </c:pt>
                <c:pt idx="114">
                  <c:v>-4.6847999999985142</c:v>
                </c:pt>
                <c:pt idx="115">
                  <c:v>-3.7478400000023244</c:v>
                </c:pt>
                <c:pt idx="116">
                  <c:v>-3.747839999998833</c:v>
                </c:pt>
                <c:pt idx="117">
                  <c:v>-4.6847999999985142</c:v>
                </c:pt>
                <c:pt idx="118">
                  <c:v>-3.7478400000024013</c:v>
                </c:pt>
                <c:pt idx="119">
                  <c:v>-3.7478399999987562</c:v>
                </c:pt>
                <c:pt idx="120">
                  <c:v>-3.7478399999988063</c:v>
                </c:pt>
                <c:pt idx="121">
                  <c:v>-4.6848000000030083</c:v>
                </c:pt>
                <c:pt idx="122">
                  <c:v>-3.7478399999988596</c:v>
                </c:pt>
                <c:pt idx="123">
                  <c:v>-3.7478399999988063</c:v>
                </c:pt>
                <c:pt idx="124">
                  <c:v>-3.7478400000023013</c:v>
                </c:pt>
                <c:pt idx="125">
                  <c:v>-4.6847999999985142</c:v>
                </c:pt>
                <c:pt idx="126">
                  <c:v>-3.7478399999988063</c:v>
                </c:pt>
                <c:pt idx="127">
                  <c:v>-3.7478400000024013</c:v>
                </c:pt>
                <c:pt idx="128">
                  <c:v>-3.747839999998833</c:v>
                </c:pt>
                <c:pt idx="129">
                  <c:v>-3.7478399999988063</c:v>
                </c:pt>
                <c:pt idx="130">
                  <c:v>-4.684800000003035</c:v>
                </c:pt>
                <c:pt idx="131">
                  <c:v>-3.7478399999988063</c:v>
                </c:pt>
                <c:pt idx="132">
                  <c:v>-3.7478399999987064</c:v>
                </c:pt>
                <c:pt idx="133">
                  <c:v>-3.7478400000024013</c:v>
                </c:pt>
                <c:pt idx="134">
                  <c:v>-3.747839999998833</c:v>
                </c:pt>
                <c:pt idx="135">
                  <c:v>-3.7478399999988063</c:v>
                </c:pt>
                <c:pt idx="136">
                  <c:v>-3.7478400000024013</c:v>
                </c:pt>
                <c:pt idx="137">
                  <c:v>-3.7478399999988063</c:v>
                </c:pt>
                <c:pt idx="138">
                  <c:v>-4.6847999999985408</c:v>
                </c:pt>
                <c:pt idx="139">
                  <c:v>-3.7478400000023013</c:v>
                </c:pt>
                <c:pt idx="140">
                  <c:v>-3.747839999998833</c:v>
                </c:pt>
                <c:pt idx="141">
                  <c:v>-3.7478399999988063</c:v>
                </c:pt>
                <c:pt idx="142">
                  <c:v>-3.7478400000024013</c:v>
                </c:pt>
                <c:pt idx="143">
                  <c:v>-3.7478399999988063</c:v>
                </c:pt>
                <c:pt idx="144">
                  <c:v>-3.7478399999988063</c:v>
                </c:pt>
                <c:pt idx="145">
                  <c:v>-3.7478400000024545</c:v>
                </c:pt>
                <c:pt idx="146">
                  <c:v>-3.7478399999988063</c:v>
                </c:pt>
                <c:pt idx="147">
                  <c:v>-3.7478399999987064</c:v>
                </c:pt>
                <c:pt idx="148">
                  <c:v>-3.7478400000024013</c:v>
                </c:pt>
                <c:pt idx="149">
                  <c:v>-3.7478399999988197</c:v>
                </c:pt>
                <c:pt idx="150">
                  <c:v>-3.7478399999988063</c:v>
                </c:pt>
                <c:pt idx="151">
                  <c:v>-3.7478400000024146</c:v>
                </c:pt>
                <c:pt idx="152">
                  <c:v>-3.7478399999988197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6A-45DF-AF68-B16F955A9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68104"/>
        <c:axId val="54473736"/>
      </c:scatterChart>
      <c:valAx>
        <c:axId val="5446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3736"/>
        <c:crosses val="autoZero"/>
        <c:crossBetween val="midCat"/>
      </c:valAx>
      <c:valAx>
        <c:axId val="5447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8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142875</xdr:colOff>
      <xdr:row>14</xdr:row>
      <xdr:rowOff>95250</xdr:rowOff>
    </xdr:from>
    <xdr:to>
      <xdr:col>24</xdr:col>
      <xdr:colOff>47625</xdr:colOff>
      <xdr:row>28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F606B16-3043-F9BC-A7E7-ED7B83B55A34}"/>
            </a:ext>
            <a:ext uri="{147F2762-F138-4A5C-976F-8EAC2B608ADB}">
              <a16:predDERef xmlns:a16="http://schemas.microsoft.com/office/drawing/2014/main" pred="{FDC711C6-1EAD-C681-F5B5-9DBB89BEA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123825</xdr:colOff>
      <xdr:row>0</xdr:row>
      <xdr:rowOff>0</xdr:rowOff>
    </xdr:from>
    <xdr:to>
      <xdr:col>24</xdr:col>
      <xdr:colOff>28575</xdr:colOff>
      <xdr:row>14</xdr:row>
      <xdr:rowOff>76200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3832182-0380-FB7E-7D2E-CEB7A1445DF1}"/>
            </a:ext>
            <a:ext uri="{147F2762-F138-4A5C-976F-8EAC2B608ADB}">
              <a16:predDERef xmlns:a16="http://schemas.microsoft.com/office/drawing/2014/main" pred="{6F606B16-3043-F9BC-A7E7-ED7B83B55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85725</xdr:colOff>
      <xdr:row>0</xdr:row>
      <xdr:rowOff>38100</xdr:rowOff>
    </xdr:from>
    <xdr:to>
      <xdr:col>12</xdr:col>
      <xdr:colOff>390525</xdr:colOff>
      <xdr:row>14</xdr:row>
      <xdr:rowOff>114300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A1D01EF1-B86C-FB93-60E7-CA7E00DE559E}"/>
            </a:ext>
            <a:ext uri="{147F2762-F138-4A5C-976F-8EAC2B608ADB}">
              <a16:predDERef xmlns:a16="http://schemas.microsoft.com/office/drawing/2014/main" pred="{F3832182-0380-FB7E-7D2E-CEB7A1445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133350</xdr:colOff>
      <xdr:row>14</xdr:row>
      <xdr:rowOff>133350</xdr:rowOff>
    </xdr:from>
    <xdr:to>
      <xdr:col>12</xdr:col>
      <xdr:colOff>371475</xdr:colOff>
      <xdr:row>29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9265AFB-1A91-346D-5066-4518FC4084F2}"/>
            </a:ext>
            <a:ext uri="{147F2762-F138-4A5C-976F-8EAC2B608ADB}">
              <a16:predDERef xmlns:a16="http://schemas.microsoft.com/office/drawing/2014/main" pred="{A1D01EF1-B86C-FB93-60E7-CA7E00DE5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"/>
  <sheetViews>
    <sheetView tabSelected="1" workbookViewId="0">
      <selection activeCell="N5" activeCellId="1" sqref="A5 N5:N6"/>
    </sheetView>
  </sheetViews>
  <sheetFormatPr defaultRowHeight="15"/>
  <cols>
    <col min="1" max="1" width="28.140625" customWidth="1"/>
    <col min="2" max="2" width="12.140625" customWidth="1"/>
    <col min="3" max="3" width="16.85546875" customWidth="1"/>
    <col min="4" max="4" width="20.42578125" customWidth="1"/>
    <col min="5" max="5" width="19.5703125" customWidth="1"/>
    <col min="6" max="6" width="9.7109375" customWidth="1"/>
    <col min="7" max="7" width="9.5703125" customWidth="1"/>
    <col min="14" max="14" width="26.5703125" customWidth="1"/>
    <col min="15" max="15" width="12.5703125" customWidth="1"/>
    <col min="16" max="16" width="15" customWidth="1"/>
    <col min="17" max="17" width="18.7109375" customWidth="1"/>
    <col min="21" max="21" width="10.85546875" customWidth="1"/>
    <col min="22" max="22" width="13.42578125" customWidth="1"/>
    <col min="23" max="23" width="12.5703125" customWidth="1"/>
    <col min="24" max="24" width="14.85546875" customWidth="1"/>
    <col min="25" max="25" width="10.7109375" customWidth="1"/>
    <col min="35" max="36" width="13.140625" customWidth="1"/>
    <col min="37" max="37" width="11.140625" customWidth="1"/>
    <col min="38" max="38" width="12.7109375" customWidth="1"/>
  </cols>
  <sheetData>
    <row r="1" spans="1:18" ht="20.25" customHeight="1">
      <c r="A1" s="4" t="s">
        <v>0</v>
      </c>
      <c r="B1" s="5" t="s">
        <v>1</v>
      </c>
      <c r="C1" s="1" t="s">
        <v>2</v>
      </c>
      <c r="D1" s="2" t="s">
        <v>3</v>
      </c>
      <c r="N1" s="4" t="s">
        <v>4</v>
      </c>
      <c r="O1" s="5" t="s">
        <v>1</v>
      </c>
      <c r="P1" s="1" t="s">
        <v>2</v>
      </c>
      <c r="Q1" s="6" t="s">
        <v>3</v>
      </c>
    </row>
    <row r="2" spans="1:18" ht="18" customHeight="1">
      <c r="A2" s="8" t="s">
        <v>5</v>
      </c>
      <c r="B2" s="5"/>
      <c r="C2" s="1">
        <v>0</v>
      </c>
      <c r="D2" s="2">
        <f>(0.244*E2)/250</f>
        <v>0.11223999999999999</v>
      </c>
      <c r="E2">
        <v>115</v>
      </c>
      <c r="N2" s="7" t="s">
        <v>5</v>
      </c>
      <c r="O2" s="5"/>
      <c r="P2" s="1">
        <v>0</v>
      </c>
      <c r="Q2" s="2">
        <f>(0.24*R2)/256</f>
        <v>0.10781249999999999</v>
      </c>
      <c r="R2">
        <v>115</v>
      </c>
    </row>
    <row r="3" spans="1:18">
      <c r="A3" s="7">
        <f>AVERAGE(B3:B71)</f>
        <v>4.7798539130434792</v>
      </c>
      <c r="B3" s="5">
        <f>(D3-D2)/(C3-C2)</f>
        <v>3.7478400000000289</v>
      </c>
      <c r="C3" s="1">
        <v>1.0416666666666599E-3</v>
      </c>
      <c r="D3" s="2">
        <f t="shared" ref="D3:D66" si="0">(0.244*E3)/250</f>
        <v>0.116144</v>
      </c>
      <c r="E3">
        <v>119</v>
      </c>
      <c r="N3" s="7">
        <f>AVERAGE(O3:O66)</f>
        <v>5.0906250000000028</v>
      </c>
      <c r="O3" s="5">
        <f>(Q3-Q2)/(P3-P2)</f>
        <v>5.4000000000000394</v>
      </c>
      <c r="P3" s="1">
        <v>1.0416666666666599E-3</v>
      </c>
      <c r="Q3" s="2">
        <f>(0.24*R3)/256</f>
        <v>0.1134375</v>
      </c>
      <c r="R3">
        <v>121</v>
      </c>
    </row>
    <row r="4" spans="1:18">
      <c r="B4" s="5">
        <f>(D4-D3)/(C4-C3)</f>
        <v>4.6847999999999947</v>
      </c>
      <c r="C4" s="1">
        <v>2.0833333333333298E-3</v>
      </c>
      <c r="D4" s="2">
        <f>(0.244*E4)/250</f>
        <v>0.12102400000000001</v>
      </c>
      <c r="E4">
        <v>124</v>
      </c>
      <c r="O4" s="5">
        <f>(Q4-Q3)/(P4-P3)</f>
        <v>4.4999999999999831</v>
      </c>
      <c r="P4" s="1">
        <v>2.0833333333333298E-3</v>
      </c>
      <c r="Q4" s="2">
        <f t="shared" ref="Q4:Q66" si="1">(0.24*R4)/256</f>
        <v>0.11812499999999999</v>
      </c>
      <c r="R4">
        <v>126</v>
      </c>
    </row>
    <row r="5" spans="1:18">
      <c r="A5" s="9" t="s">
        <v>6</v>
      </c>
      <c r="B5" s="5">
        <f>(D5-D4)/(C5-C4)</f>
        <v>4.6847999999999654</v>
      </c>
      <c r="C5" s="1">
        <v>3.1250000000000002E-3</v>
      </c>
      <c r="D5" s="2">
        <f t="shared" si="0"/>
        <v>0.12590399999999999</v>
      </c>
      <c r="E5">
        <v>129</v>
      </c>
      <c r="N5" s="10" t="s">
        <v>6</v>
      </c>
      <c r="O5" s="5">
        <f>(Q5-Q4)/(P5-P4)</f>
        <v>5.3999999999999861</v>
      </c>
      <c r="P5" s="1">
        <v>3.1250000000000002E-3</v>
      </c>
      <c r="Q5" s="2">
        <f t="shared" si="1"/>
        <v>0.12375</v>
      </c>
      <c r="R5">
        <v>132</v>
      </c>
    </row>
    <row r="6" spans="1:18">
      <c r="A6">
        <f>AVERAGE(B73:B154)</f>
        <v>-4.010645853658561</v>
      </c>
      <c r="B6" s="5">
        <f>(D6-D5)/(C6-C5)</f>
        <v>4.6848000000000276</v>
      </c>
      <c r="C6" s="1">
        <v>4.1666666666666597E-3</v>
      </c>
      <c r="D6" s="2">
        <f t="shared" si="0"/>
        <v>0.13078399999999998</v>
      </c>
      <c r="E6">
        <v>134</v>
      </c>
      <c r="N6" s="9">
        <f>AVERAGE(O68:O146)</f>
        <v>-4.0670886075949033</v>
      </c>
      <c r="O6" s="5">
        <f>(Q6-Q5)/(P6-P5)</f>
        <v>4.5000000000000151</v>
      </c>
      <c r="P6" s="1">
        <v>4.1666666666666597E-3</v>
      </c>
      <c r="Q6" s="2">
        <f t="shared" si="1"/>
        <v>0.12843749999999998</v>
      </c>
      <c r="R6">
        <v>137</v>
      </c>
    </row>
    <row r="7" spans="1:18">
      <c r="B7" s="5">
        <f>(D7-D6)/(C7-C6)</f>
        <v>4.6847999999999814</v>
      </c>
      <c r="C7" s="1">
        <v>5.2083333333333296E-3</v>
      </c>
      <c r="D7" s="2">
        <f t="shared" si="0"/>
        <v>0.13566399999999998</v>
      </c>
      <c r="E7">
        <v>139</v>
      </c>
      <c r="O7" s="5">
        <f>(Q7-Q6)/(P7-P6)</f>
        <v>4.4999999999999964</v>
      </c>
      <c r="P7" s="1">
        <v>5.2083333333333296E-3</v>
      </c>
      <c r="Q7" s="2">
        <f t="shared" si="1"/>
        <v>0.13312499999999999</v>
      </c>
      <c r="R7">
        <v>142</v>
      </c>
    </row>
    <row r="8" spans="1:18">
      <c r="A8" s="3" t="s">
        <v>7</v>
      </c>
      <c r="B8" s="5">
        <f>(D8-D7)/(C8-C7)</f>
        <v>4.684799999999977</v>
      </c>
      <c r="C8" s="1">
        <v>6.2500000000000003E-3</v>
      </c>
      <c r="D8" s="2">
        <f t="shared" si="0"/>
        <v>0.14054399999999997</v>
      </c>
      <c r="E8">
        <v>144</v>
      </c>
      <c r="N8" s="3" t="s">
        <v>7</v>
      </c>
      <c r="O8" s="5">
        <f>(Q8-Q7)/(P8-P7)</f>
        <v>5.3999999999999702</v>
      </c>
      <c r="P8" s="1">
        <v>6.2500000000000003E-3</v>
      </c>
      <c r="Q8" s="2">
        <f t="shared" si="1"/>
        <v>0.13874999999999998</v>
      </c>
      <c r="R8">
        <v>148</v>
      </c>
    </row>
    <row r="9" spans="1:18">
      <c r="A9" s="3">
        <f>ABS(A6/A3)</f>
        <v>0.83907289356984971</v>
      </c>
      <c r="B9" s="5">
        <f>(D9-D8)/(C9-C8)</f>
        <v>4.6848000000000543</v>
      </c>
      <c r="C9" s="1">
        <v>7.2916666666666598E-3</v>
      </c>
      <c r="D9" s="2">
        <f t="shared" si="0"/>
        <v>0.145424</v>
      </c>
      <c r="E9">
        <v>149</v>
      </c>
      <c r="N9" s="3">
        <f>ABS(N6/N3)</f>
        <v>0.79893698860059448</v>
      </c>
      <c r="O9" s="5">
        <f>(Q9-Q8)/(P9-P8)</f>
        <v>4.5000000000000417</v>
      </c>
      <c r="P9" s="1">
        <v>7.2916666666666598E-3</v>
      </c>
      <c r="Q9" s="2">
        <f t="shared" si="1"/>
        <v>0.1434375</v>
      </c>
      <c r="R9">
        <v>153</v>
      </c>
    </row>
    <row r="10" spans="1:18">
      <c r="B10" s="5">
        <f>(D10-D9)/(C10-C9)</f>
        <v>4.6847999999999814</v>
      </c>
      <c r="C10" s="1">
        <v>8.3333333333333297E-3</v>
      </c>
      <c r="D10" s="2">
        <f t="shared" si="0"/>
        <v>0.15030399999999999</v>
      </c>
      <c r="E10">
        <v>154</v>
      </c>
      <c r="O10" s="5">
        <f>(Q10-Q9)/(P10-P9)</f>
        <v>4.4999999999999964</v>
      </c>
      <c r="P10" s="1">
        <v>8.3333333333333297E-3</v>
      </c>
      <c r="Q10" s="2">
        <f t="shared" si="1"/>
        <v>0.14812500000000001</v>
      </c>
      <c r="R10">
        <v>158</v>
      </c>
    </row>
    <row r="11" spans="1:18">
      <c r="B11" s="5">
        <f>(D11-D10)/(C11-C10)</f>
        <v>4.6847999999999814</v>
      </c>
      <c r="C11" s="1">
        <v>9.3749999999999997E-3</v>
      </c>
      <c r="D11" s="2">
        <f t="shared" si="0"/>
        <v>0.15518399999999999</v>
      </c>
      <c r="E11">
        <v>159</v>
      </c>
      <c r="O11" s="5">
        <f>(Q11-Q10)/(P11-P10)</f>
        <v>5.3999999999999746</v>
      </c>
      <c r="P11" s="1">
        <v>9.3749999999999997E-3</v>
      </c>
      <c r="Q11" s="2">
        <f t="shared" si="1"/>
        <v>0.15375</v>
      </c>
      <c r="R11">
        <v>164</v>
      </c>
    </row>
    <row r="12" spans="1:18">
      <c r="B12" s="5">
        <f>(D12-D11)/(C12-C11)</f>
        <v>3.7478400000002559</v>
      </c>
      <c r="C12" s="1">
        <v>1.04166666666666E-2</v>
      </c>
      <c r="D12" s="2">
        <f t="shared" si="0"/>
        <v>0.15908800000000001</v>
      </c>
      <c r="E12">
        <v>163</v>
      </c>
      <c r="O12" s="5">
        <f>(Q12-Q11)/(P12-P11)</f>
        <v>5.4000000000003343</v>
      </c>
      <c r="P12" s="1">
        <v>1.04166666666666E-2</v>
      </c>
      <c r="Q12" s="2">
        <f t="shared" si="1"/>
        <v>0.15937499999999999</v>
      </c>
      <c r="R12">
        <v>170</v>
      </c>
    </row>
    <row r="13" spans="1:18">
      <c r="B13" s="5">
        <f>(D13-D12)/(C13-C12)</f>
        <v>4.6847999999998482</v>
      </c>
      <c r="C13" s="1">
        <v>1.14583333333333E-2</v>
      </c>
      <c r="D13" s="2">
        <f t="shared" si="0"/>
        <v>0.163968</v>
      </c>
      <c r="E13">
        <v>168</v>
      </c>
      <c r="O13" s="5">
        <f>(Q13-Q12)/(P13-P12)</f>
        <v>4.4999999999998694</v>
      </c>
      <c r="P13" s="1">
        <v>1.14583333333333E-2</v>
      </c>
      <c r="Q13" s="2">
        <f t="shared" si="1"/>
        <v>0.1640625</v>
      </c>
      <c r="R13">
        <v>175</v>
      </c>
    </row>
    <row r="14" spans="1:18">
      <c r="B14" s="5">
        <f>(D14-D13)/(C14-C13)</f>
        <v>4.6847999999998402</v>
      </c>
      <c r="C14" s="1">
        <v>1.2500000000000001E-2</v>
      </c>
      <c r="D14" s="2">
        <f t="shared" si="0"/>
        <v>0.168848</v>
      </c>
      <c r="E14">
        <v>173</v>
      </c>
      <c r="O14" s="5">
        <f>(Q14-Q13)/(P14-P13)</f>
        <v>5.3999999999998129</v>
      </c>
      <c r="P14" s="1">
        <v>1.2500000000000001E-2</v>
      </c>
      <c r="Q14" s="2">
        <f t="shared" si="1"/>
        <v>0.16968749999999999</v>
      </c>
      <c r="R14">
        <v>181</v>
      </c>
    </row>
    <row r="15" spans="1:18">
      <c r="B15" s="5">
        <f>(D15-D14)/(C15-C14)</f>
        <v>4.6848000000003278</v>
      </c>
      <c r="C15" s="1">
        <v>1.3541666666666599E-2</v>
      </c>
      <c r="D15" s="2">
        <f t="shared" si="0"/>
        <v>0.17372800000000002</v>
      </c>
      <c r="E15">
        <v>178</v>
      </c>
      <c r="O15" s="5">
        <f>(Q15-Q14)/(P15-P14)</f>
        <v>4.5000000000003038</v>
      </c>
      <c r="P15" s="1">
        <v>1.3541666666666599E-2</v>
      </c>
      <c r="Q15" s="2">
        <f t="shared" si="1"/>
        <v>0.174375</v>
      </c>
      <c r="R15">
        <v>186</v>
      </c>
    </row>
    <row r="16" spans="1:18">
      <c r="B16" s="5">
        <f>(D16-D15)/(C16-C15)</f>
        <v>4.6847999999998402</v>
      </c>
      <c r="C16" s="1">
        <v>1.4583333333333301E-2</v>
      </c>
      <c r="D16" s="2">
        <f t="shared" si="0"/>
        <v>0.17860800000000002</v>
      </c>
      <c r="E16">
        <v>183</v>
      </c>
      <c r="O16" s="5">
        <f>(Q16-Q15)/(P16-P15)</f>
        <v>5.3999999999998129</v>
      </c>
      <c r="P16" s="1">
        <v>1.4583333333333301E-2</v>
      </c>
      <c r="Q16" s="2">
        <f t="shared" si="1"/>
        <v>0.18</v>
      </c>
      <c r="R16">
        <v>192</v>
      </c>
    </row>
    <row r="17" spans="2:18">
      <c r="B17" s="5">
        <f>(D17-D16)/(C17-C16)</f>
        <v>4.6847999999998482</v>
      </c>
      <c r="C17" s="1">
        <v>1.5625E-2</v>
      </c>
      <c r="D17" s="2">
        <f t="shared" si="0"/>
        <v>0.18348800000000001</v>
      </c>
      <c r="E17">
        <v>188</v>
      </c>
      <c r="O17" s="5">
        <f>(Q17-Q16)/(P17-P16)</f>
        <v>4.4999999999998694</v>
      </c>
      <c r="P17" s="1">
        <v>1.5625E-2</v>
      </c>
      <c r="Q17" s="2">
        <f t="shared" si="1"/>
        <v>0.1846875</v>
      </c>
      <c r="R17">
        <v>197</v>
      </c>
    </row>
    <row r="18" spans="2:18">
      <c r="B18" s="5">
        <f>(D18-D17)/(C18-C17)</f>
        <v>4.6848000000002932</v>
      </c>
      <c r="C18" s="1">
        <v>1.6666666666666601E-2</v>
      </c>
      <c r="D18" s="2">
        <f t="shared" si="0"/>
        <v>0.18836800000000001</v>
      </c>
      <c r="E18">
        <v>193</v>
      </c>
      <c r="O18" s="5">
        <f>(Q18-Q17)/(P18-P17)</f>
        <v>5.4000000000003343</v>
      </c>
      <c r="P18" s="1">
        <v>1.6666666666666601E-2</v>
      </c>
      <c r="Q18" s="2">
        <f t="shared" si="1"/>
        <v>0.1903125</v>
      </c>
      <c r="R18">
        <v>203</v>
      </c>
    </row>
    <row r="19" spans="2:18">
      <c r="B19" s="5">
        <f>(D19-D18)/(C19-C18)</f>
        <v>4.6847999999998402</v>
      </c>
      <c r="C19" s="1">
        <v>1.7708333333333302E-2</v>
      </c>
      <c r="D19" s="2">
        <f t="shared" si="0"/>
        <v>0.193248</v>
      </c>
      <c r="E19">
        <v>198</v>
      </c>
      <c r="O19" s="5">
        <f>(Q19-Q18)/(P19-P18)</f>
        <v>4.4999999999998614</v>
      </c>
      <c r="P19" s="1">
        <v>1.7708333333333302E-2</v>
      </c>
      <c r="Q19" s="2">
        <f t="shared" si="1"/>
        <v>0.19500000000000001</v>
      </c>
      <c r="R19">
        <v>208</v>
      </c>
    </row>
    <row r="20" spans="2:18">
      <c r="B20" s="5">
        <f>(D20-D19)/(C20-C19)</f>
        <v>4.6847999999998562</v>
      </c>
      <c r="C20" s="1">
        <v>1.8749999999999999E-2</v>
      </c>
      <c r="D20" s="2">
        <f t="shared" si="0"/>
        <v>0.198128</v>
      </c>
      <c r="E20">
        <v>203</v>
      </c>
      <c r="O20" s="5">
        <f>(Q20-Q19)/(P20-P19)</f>
        <v>5.3999999999998307</v>
      </c>
      <c r="P20" s="1">
        <v>1.8749999999999999E-2</v>
      </c>
      <c r="Q20" s="2">
        <f t="shared" si="1"/>
        <v>0.200625</v>
      </c>
      <c r="R20">
        <v>214</v>
      </c>
    </row>
    <row r="21" spans="2:18">
      <c r="B21" s="5">
        <f>(D21-D20)/(C21-C20)</f>
        <v>4.6848000000002932</v>
      </c>
      <c r="C21" s="1">
        <v>1.97916666666666E-2</v>
      </c>
      <c r="D21" s="2">
        <f t="shared" si="0"/>
        <v>0.20300799999999999</v>
      </c>
      <c r="E21">
        <v>208</v>
      </c>
      <c r="O21" s="5">
        <f>(Q21-Q20)/(P21-P20)</f>
        <v>5.4000000000003343</v>
      </c>
      <c r="P21" s="1">
        <v>1.97916666666666E-2</v>
      </c>
      <c r="Q21" s="2">
        <f t="shared" si="1"/>
        <v>0.20624999999999999</v>
      </c>
      <c r="R21">
        <v>220</v>
      </c>
    </row>
    <row r="22" spans="2:18">
      <c r="B22" s="5">
        <f>(D22-D21)/(C22-C21)</f>
        <v>4.6847999999998668</v>
      </c>
      <c r="C22" s="1">
        <v>2.0833333333333301E-2</v>
      </c>
      <c r="D22" s="2">
        <f t="shared" si="0"/>
        <v>0.20788800000000002</v>
      </c>
      <c r="E22">
        <v>213</v>
      </c>
      <c r="O22" s="5">
        <f>(Q22-Q21)/(P22-P21)</f>
        <v>4.4999999999998614</v>
      </c>
      <c r="P22" s="1">
        <v>2.0833333333333301E-2</v>
      </c>
      <c r="Q22" s="2">
        <f t="shared" si="1"/>
        <v>0.2109375</v>
      </c>
      <c r="R22">
        <v>225</v>
      </c>
    </row>
    <row r="23" spans="2:18">
      <c r="B23" s="5">
        <f>(D23-D22)/(C23-C22)</f>
        <v>4.6847999999998562</v>
      </c>
      <c r="C23" s="1">
        <v>2.1874999999999999E-2</v>
      </c>
      <c r="D23" s="2">
        <f t="shared" si="0"/>
        <v>0.21276800000000001</v>
      </c>
      <c r="E23">
        <v>218</v>
      </c>
      <c r="O23" s="5">
        <f>(Q23-Q22)/(P23-P22)</f>
        <v>5.3999999999998307</v>
      </c>
      <c r="P23" s="1">
        <v>2.1874999999999999E-2</v>
      </c>
      <c r="Q23" s="2">
        <f t="shared" si="1"/>
        <v>0.21656249999999999</v>
      </c>
      <c r="R23">
        <v>231</v>
      </c>
    </row>
    <row r="24" spans="2:18">
      <c r="B24" s="5">
        <f>(D24-D23)/(C24-C23)</f>
        <v>5.6217600000003305</v>
      </c>
      <c r="C24" s="1">
        <v>2.2916666666666599E-2</v>
      </c>
      <c r="D24" s="2">
        <f t="shared" si="0"/>
        <v>0.21862399999999999</v>
      </c>
      <c r="E24">
        <v>224</v>
      </c>
      <c r="O24" s="5">
        <f>(Q24-Q23)/(P24-P23)</f>
        <v>5.4000000000003343</v>
      </c>
      <c r="P24" s="1">
        <v>2.2916666666666599E-2</v>
      </c>
      <c r="Q24" s="2">
        <f t="shared" si="1"/>
        <v>0.22218749999999998</v>
      </c>
      <c r="R24">
        <v>237</v>
      </c>
    </row>
    <row r="25" spans="2:18">
      <c r="B25" s="5">
        <f>(D25-D24)/(C25-C24)</f>
        <v>4.6847999999998402</v>
      </c>
      <c r="C25" s="1">
        <v>2.39583333333333E-2</v>
      </c>
      <c r="D25" s="2">
        <f t="shared" si="0"/>
        <v>0.22350399999999998</v>
      </c>
      <c r="E25">
        <v>229</v>
      </c>
      <c r="O25" s="5">
        <f>(Q25-Q24)/(P25-P24)</f>
        <v>4.4999999999998614</v>
      </c>
      <c r="P25" s="1">
        <v>2.39583333333333E-2</v>
      </c>
      <c r="Q25" s="2">
        <f t="shared" si="1"/>
        <v>0.22687499999999999</v>
      </c>
      <c r="R25">
        <v>242</v>
      </c>
    </row>
    <row r="26" spans="2:18">
      <c r="B26" s="5">
        <f>(D26-D25)/(C26-C25)</f>
        <v>4.6847999999998402</v>
      </c>
      <c r="C26" s="1">
        <v>2.5000000000000001E-2</v>
      </c>
      <c r="D26" s="2">
        <f t="shared" si="0"/>
        <v>0.22838399999999998</v>
      </c>
      <c r="E26">
        <v>234</v>
      </c>
      <c r="O26" s="5">
        <f>(Q26-Q25)/(P26-P25)</f>
        <v>5.3999999999998129</v>
      </c>
      <c r="P26" s="1">
        <v>2.5000000000000001E-2</v>
      </c>
      <c r="Q26" s="2">
        <f t="shared" si="1"/>
        <v>0.23249999999999998</v>
      </c>
      <c r="R26">
        <v>248</v>
      </c>
    </row>
    <row r="27" spans="2:18">
      <c r="B27" s="5">
        <f>(D27-D26)/(C27-C26)</f>
        <v>4.6848000000003092</v>
      </c>
      <c r="C27" s="1">
        <v>2.6041666666666598E-2</v>
      </c>
      <c r="D27" s="2">
        <f t="shared" si="0"/>
        <v>0.23326399999999997</v>
      </c>
      <c r="E27">
        <v>239</v>
      </c>
      <c r="O27" s="5">
        <f>(Q27-Q26)/(P27-P26)</f>
        <v>5.4000000000003787</v>
      </c>
      <c r="P27" s="1">
        <v>2.6041666666666598E-2</v>
      </c>
      <c r="Q27" s="2">
        <f t="shared" si="1"/>
        <v>0.238125</v>
      </c>
      <c r="R27">
        <v>254</v>
      </c>
    </row>
    <row r="28" spans="2:18">
      <c r="B28" s="5">
        <f>(D28-D27)/(C28-C27)</f>
        <v>4.6847999999998668</v>
      </c>
      <c r="C28" s="1">
        <v>2.70833333333333E-2</v>
      </c>
      <c r="D28" s="2">
        <f t="shared" si="0"/>
        <v>0.23814399999999999</v>
      </c>
      <c r="E28">
        <v>244</v>
      </c>
      <c r="O28" s="5">
        <f>(Q28-Q27)/(P28-P27)</f>
        <v>4.4999999999998348</v>
      </c>
      <c r="P28" s="1">
        <v>2.70833333333333E-2</v>
      </c>
      <c r="Q28" s="2">
        <f t="shared" si="1"/>
        <v>0.24281249999999999</v>
      </c>
      <c r="R28">
        <v>259</v>
      </c>
    </row>
    <row r="29" spans="2:18">
      <c r="B29" s="5">
        <f>(D29-D28)/(C29-C28)</f>
        <v>4.6847999999998402</v>
      </c>
      <c r="C29" s="1">
        <v>2.8125000000000001E-2</v>
      </c>
      <c r="D29" s="2">
        <f t="shared" si="0"/>
        <v>0.24302399999999999</v>
      </c>
      <c r="E29">
        <v>249</v>
      </c>
      <c r="O29" s="5">
        <f>(Q29-Q28)/(P29-P28)</f>
        <v>5.3999999999998129</v>
      </c>
      <c r="P29" s="1">
        <v>2.8125000000000001E-2</v>
      </c>
      <c r="Q29" s="2">
        <f t="shared" si="1"/>
        <v>0.24843749999999998</v>
      </c>
      <c r="R29">
        <v>265</v>
      </c>
    </row>
    <row r="30" spans="2:18">
      <c r="B30" s="5">
        <f>(D30-D29)/(C30-C29)</f>
        <v>4.6848000000002932</v>
      </c>
      <c r="C30" s="1">
        <v>2.9166666666666601E-2</v>
      </c>
      <c r="D30" s="2">
        <f t="shared" si="0"/>
        <v>0.24790399999999999</v>
      </c>
      <c r="E30">
        <v>254</v>
      </c>
      <c r="O30" s="5">
        <f>(Q30-Q29)/(P30-P29)</f>
        <v>4.5000000000002967</v>
      </c>
      <c r="P30" s="1">
        <v>2.9166666666666601E-2</v>
      </c>
      <c r="Q30" s="2">
        <f t="shared" si="1"/>
        <v>0.25312499999999999</v>
      </c>
      <c r="R30">
        <v>270</v>
      </c>
    </row>
    <row r="31" spans="2:18">
      <c r="B31" s="5">
        <f>(D31-D30)/(C31-C30)</f>
        <v>4.6847999999998828</v>
      </c>
      <c r="C31" s="1">
        <v>3.0208333333333299E-2</v>
      </c>
      <c r="D31" s="2">
        <f t="shared" si="0"/>
        <v>0.25278400000000001</v>
      </c>
      <c r="E31">
        <v>259</v>
      </c>
      <c r="O31" s="5">
        <f>(Q31-Q30)/(P31-P30)</f>
        <v>5.3999999999998307</v>
      </c>
      <c r="P31" s="1">
        <v>3.0208333333333299E-2</v>
      </c>
      <c r="Q31" s="2">
        <f t="shared" si="1"/>
        <v>0.25874999999999998</v>
      </c>
      <c r="R31">
        <v>276</v>
      </c>
    </row>
    <row r="32" spans="2:18">
      <c r="B32" s="5">
        <f>(D32-D31)/(C32-C31)</f>
        <v>4.6847999999998402</v>
      </c>
      <c r="C32" s="1">
        <v>3.125E-2</v>
      </c>
      <c r="D32" s="2">
        <f t="shared" si="0"/>
        <v>0.257664</v>
      </c>
      <c r="E32">
        <v>264</v>
      </c>
      <c r="O32" s="5">
        <f>(Q32-Q31)/(P32-P31)</f>
        <v>5.3999999999998129</v>
      </c>
      <c r="P32" s="1">
        <v>3.125E-2</v>
      </c>
      <c r="Q32" s="2">
        <f t="shared" si="1"/>
        <v>0.26437499999999997</v>
      </c>
      <c r="R32">
        <v>282</v>
      </c>
    </row>
    <row r="33" spans="2:18">
      <c r="B33" s="5">
        <f>(D33-D32)/(C33-C32)</f>
        <v>5.6217600000003305</v>
      </c>
      <c r="C33" s="1">
        <v>3.2291666666666601E-2</v>
      </c>
      <c r="D33" s="2">
        <f t="shared" si="0"/>
        <v>0.26351999999999998</v>
      </c>
      <c r="E33">
        <v>270</v>
      </c>
      <c r="O33" s="5">
        <f>(Q33-Q32)/(P33-P32)</f>
        <v>5.4000000000003876</v>
      </c>
      <c r="P33" s="1">
        <v>3.2291666666666601E-2</v>
      </c>
      <c r="Q33" s="2">
        <f t="shared" si="1"/>
        <v>0.27</v>
      </c>
      <c r="R33">
        <v>288</v>
      </c>
    </row>
    <row r="34" spans="2:18">
      <c r="B34" s="5">
        <f>(D34-D33)/(C34-C33)</f>
        <v>4.6847999999998562</v>
      </c>
      <c r="C34" s="1">
        <v>3.3333333333333298E-2</v>
      </c>
      <c r="D34" s="2">
        <f t="shared" si="0"/>
        <v>0.26839999999999997</v>
      </c>
      <c r="E34">
        <v>275</v>
      </c>
      <c r="O34" s="5">
        <f>(Q34-Q33)/(P34-P33)</f>
        <v>5.3999999999998307</v>
      </c>
      <c r="P34" s="1">
        <v>3.3333333333333298E-2</v>
      </c>
      <c r="Q34" s="2">
        <f t="shared" si="1"/>
        <v>0.27562500000000001</v>
      </c>
      <c r="R34">
        <v>294</v>
      </c>
    </row>
    <row r="35" spans="2:18">
      <c r="B35" s="5">
        <f>(D35-D34)/(C35-C34)</f>
        <v>4.6847999999998251</v>
      </c>
      <c r="C35" s="1">
        <v>3.4375000000000003E-2</v>
      </c>
      <c r="D35" s="2">
        <f t="shared" si="0"/>
        <v>0.27327999999999997</v>
      </c>
      <c r="E35">
        <v>280</v>
      </c>
      <c r="O35" s="5">
        <f>(Q35-Q34)/(P35-P34)</f>
        <v>4.4999999999997939</v>
      </c>
      <c r="P35" s="1">
        <v>3.4375000000000003E-2</v>
      </c>
      <c r="Q35" s="2">
        <f t="shared" si="1"/>
        <v>0.28031249999999996</v>
      </c>
      <c r="R35">
        <v>299</v>
      </c>
    </row>
    <row r="36" spans="2:18">
      <c r="B36" s="5">
        <f>(D36-D35)/(C36-C35)</f>
        <v>4.6848000000002932</v>
      </c>
      <c r="C36" s="1">
        <v>3.5416666666666603E-2</v>
      </c>
      <c r="D36" s="2">
        <f t="shared" si="0"/>
        <v>0.27815999999999996</v>
      </c>
      <c r="E36">
        <v>285</v>
      </c>
      <c r="O36" s="5">
        <f>(Q36-Q35)/(P36-P35)</f>
        <v>5.4000000000003876</v>
      </c>
      <c r="P36" s="1">
        <v>3.5416666666666603E-2</v>
      </c>
      <c r="Q36" s="2">
        <f t="shared" si="1"/>
        <v>0.28593750000000001</v>
      </c>
      <c r="R36">
        <v>305</v>
      </c>
    </row>
    <row r="37" spans="2:18">
      <c r="B37" s="5">
        <f>(D37-D36)/(C37-C36)</f>
        <v>4.6847999999999095</v>
      </c>
      <c r="C37" s="1">
        <v>3.6458333333333301E-2</v>
      </c>
      <c r="D37" s="2">
        <f t="shared" si="0"/>
        <v>0.28304000000000001</v>
      </c>
      <c r="E37">
        <v>290</v>
      </c>
      <c r="O37" s="5">
        <f>(Q37-Q36)/(P37-P36)</f>
        <v>5.3999999999998307</v>
      </c>
      <c r="P37" s="1">
        <v>3.6458333333333301E-2</v>
      </c>
      <c r="Q37" s="2">
        <f t="shared" si="1"/>
        <v>0.2915625</v>
      </c>
      <c r="R37">
        <v>311</v>
      </c>
    </row>
    <row r="38" spans="2:18">
      <c r="B38" s="5">
        <f>(D38-D37)/(C38-C37)</f>
        <v>5.6217599999998598</v>
      </c>
      <c r="C38" s="1">
        <v>3.7499999999999999E-2</v>
      </c>
      <c r="D38" s="2">
        <f t="shared" si="0"/>
        <v>0.28889600000000004</v>
      </c>
      <c r="E38">
        <v>296</v>
      </c>
      <c r="O38" s="5">
        <f>(Q38-Q37)/(P38-P37)</f>
        <v>4.4999999999998765</v>
      </c>
      <c r="P38" s="1">
        <v>3.7499999999999999E-2</v>
      </c>
      <c r="Q38" s="2">
        <f t="shared" si="1"/>
        <v>0.29625000000000001</v>
      </c>
      <c r="R38">
        <v>316</v>
      </c>
    </row>
    <row r="39" spans="2:18">
      <c r="B39" s="5">
        <f>(D39-D38)/(C39-C38)</f>
        <v>4.6848000000002932</v>
      </c>
      <c r="C39" s="1">
        <v>3.8541666666666599E-2</v>
      </c>
      <c r="D39" s="2">
        <f t="shared" si="0"/>
        <v>0.29377600000000004</v>
      </c>
      <c r="E39">
        <v>301</v>
      </c>
      <c r="O39" s="5">
        <f>(Q39-Q38)/(P39-P38)</f>
        <v>5.4000000000003343</v>
      </c>
      <c r="P39" s="1">
        <v>3.8541666666666599E-2</v>
      </c>
      <c r="Q39" s="2">
        <f t="shared" si="1"/>
        <v>0.301875</v>
      </c>
      <c r="R39">
        <v>322</v>
      </c>
    </row>
    <row r="40" spans="2:18">
      <c r="B40" s="5">
        <f>(D40-D39)/(C40-C39)</f>
        <v>4.6847999999998562</v>
      </c>
      <c r="C40" s="1">
        <v>3.9583333333333297E-2</v>
      </c>
      <c r="D40" s="2">
        <f t="shared" si="0"/>
        <v>0.29865600000000003</v>
      </c>
      <c r="E40">
        <v>306</v>
      </c>
      <c r="O40" s="5">
        <f>(Q40-Q39)/(P40-P39)</f>
        <v>5.3999999999998307</v>
      </c>
      <c r="P40" s="1">
        <v>3.9583333333333297E-2</v>
      </c>
      <c r="Q40" s="2">
        <f t="shared" si="1"/>
        <v>0.3075</v>
      </c>
      <c r="R40">
        <v>328</v>
      </c>
    </row>
    <row r="41" spans="2:18">
      <c r="B41" s="5">
        <f>(D41-D40)/(C41-C40)</f>
        <v>4.6847999999998251</v>
      </c>
      <c r="C41" s="1">
        <v>4.0625000000000001E-2</v>
      </c>
      <c r="D41" s="2">
        <f t="shared" si="0"/>
        <v>0.30353600000000003</v>
      </c>
      <c r="E41">
        <v>311</v>
      </c>
      <c r="O41" s="5">
        <f>(Q41-Q40)/(P41-P40)</f>
        <v>5.3999999999997952</v>
      </c>
      <c r="P41" s="1">
        <v>4.0625000000000001E-2</v>
      </c>
      <c r="Q41" s="2">
        <f t="shared" si="1"/>
        <v>0.31312499999999999</v>
      </c>
      <c r="R41">
        <v>334</v>
      </c>
    </row>
    <row r="42" spans="2:18">
      <c r="B42" s="5">
        <f>(D42-D41)/(C42-C41)</f>
        <v>4.6848000000002932</v>
      </c>
      <c r="C42" s="1">
        <v>4.1666666666666602E-2</v>
      </c>
      <c r="D42" s="2">
        <f t="shared" si="0"/>
        <v>0.30841600000000002</v>
      </c>
      <c r="E42">
        <v>316</v>
      </c>
      <c r="O42" s="5">
        <f>(Q42-Q41)/(P42-P41)</f>
        <v>5.4000000000003343</v>
      </c>
      <c r="P42" s="1">
        <v>4.1666666666666602E-2</v>
      </c>
      <c r="Q42" s="2">
        <f t="shared" si="1"/>
        <v>0.31874999999999998</v>
      </c>
      <c r="R42">
        <v>340</v>
      </c>
    </row>
    <row r="43" spans="2:18">
      <c r="B43" s="5">
        <f>(D43-D42)/(C43-C42)</f>
        <v>5.6217599999998065</v>
      </c>
      <c r="C43" s="1">
        <v>4.27083333333333E-2</v>
      </c>
      <c r="D43" s="2">
        <f t="shared" si="0"/>
        <v>0.314272</v>
      </c>
      <c r="E43">
        <v>322</v>
      </c>
      <c r="O43" s="5">
        <f>(Q43-Q42)/(P43-P42)</f>
        <v>5.3999999999998307</v>
      </c>
      <c r="P43" s="1">
        <v>4.27083333333333E-2</v>
      </c>
      <c r="Q43" s="2">
        <f t="shared" si="1"/>
        <v>0.32437499999999997</v>
      </c>
      <c r="R43">
        <v>346</v>
      </c>
    </row>
    <row r="44" spans="2:18">
      <c r="B44" s="5">
        <f>(D44-D43)/(C44-C43)</f>
        <v>4.6847999999998562</v>
      </c>
      <c r="C44" s="1">
        <v>4.3749999999999997E-2</v>
      </c>
      <c r="D44" s="2">
        <f t="shared" si="0"/>
        <v>0.31915199999999999</v>
      </c>
      <c r="E44">
        <v>327</v>
      </c>
      <c r="O44" s="5">
        <f>(Q44-Q43)/(P44-P43)</f>
        <v>5.3999999999998307</v>
      </c>
      <c r="P44" s="1">
        <v>4.3749999999999997E-2</v>
      </c>
      <c r="Q44" s="2">
        <f t="shared" si="1"/>
        <v>0.32999999999999996</v>
      </c>
      <c r="R44">
        <v>352</v>
      </c>
    </row>
    <row r="45" spans="2:18">
      <c r="B45" s="5">
        <f>(D45-D44)/(C45-C44)</f>
        <v>4.6848000000002932</v>
      </c>
      <c r="C45" s="1">
        <v>4.4791666666666598E-2</v>
      </c>
      <c r="D45" s="2">
        <f t="shared" si="0"/>
        <v>0.32403199999999999</v>
      </c>
      <c r="E45">
        <v>332</v>
      </c>
      <c r="O45" s="5">
        <f>(Q45-Q44)/(P45-P44)</f>
        <v>5.4000000000003876</v>
      </c>
      <c r="P45" s="1">
        <v>4.4791666666666598E-2</v>
      </c>
      <c r="Q45" s="2">
        <f t="shared" si="1"/>
        <v>0.33562500000000001</v>
      </c>
      <c r="R45">
        <v>358</v>
      </c>
    </row>
    <row r="46" spans="2:18">
      <c r="B46" s="5">
        <f>(D46-D45)/(C46-C45)</f>
        <v>5.6217599999997692</v>
      </c>
      <c r="C46" s="1">
        <v>4.5833333333333302E-2</v>
      </c>
      <c r="D46" s="2">
        <f t="shared" si="0"/>
        <v>0.32988799999999996</v>
      </c>
      <c r="E46">
        <v>338</v>
      </c>
      <c r="O46" s="5">
        <f>(Q46-Q45)/(P46-P45)</f>
        <v>5.3999999999997952</v>
      </c>
      <c r="P46" s="1">
        <v>4.5833333333333302E-2</v>
      </c>
      <c r="Q46" s="2">
        <f t="shared" si="1"/>
        <v>0.34125</v>
      </c>
      <c r="R46">
        <v>364</v>
      </c>
    </row>
    <row r="47" spans="2:18">
      <c r="B47" s="5">
        <f>(D47-D46)/(C47-C46)</f>
        <v>4.6847999999998562</v>
      </c>
      <c r="C47" s="1">
        <v>4.6875E-2</v>
      </c>
      <c r="D47" s="2">
        <f t="shared" si="0"/>
        <v>0.33476799999999995</v>
      </c>
      <c r="E47">
        <v>343</v>
      </c>
      <c r="O47" s="5">
        <f>(Q47-Q46)/(P47-P46)</f>
        <v>5.3999999999998307</v>
      </c>
      <c r="P47" s="1">
        <v>4.6875E-2</v>
      </c>
      <c r="Q47" s="2">
        <f t="shared" si="1"/>
        <v>0.34687499999999999</v>
      </c>
      <c r="R47">
        <v>370</v>
      </c>
    </row>
    <row r="48" spans="2:18">
      <c r="B48" s="5">
        <f>(D48-D47)/(C48-C47)</f>
        <v>5.6217600000003838</v>
      </c>
      <c r="C48" s="1">
        <v>4.7916666666666601E-2</v>
      </c>
      <c r="D48" s="2">
        <f t="shared" si="0"/>
        <v>0.34062399999999998</v>
      </c>
      <c r="E48">
        <v>349</v>
      </c>
      <c r="O48" s="5">
        <f>(Q48-Q47)/(P48-P47)</f>
        <v>4.5000000000002967</v>
      </c>
      <c r="P48" s="1">
        <v>4.7916666666666601E-2</v>
      </c>
      <c r="Q48" s="2">
        <f t="shared" si="1"/>
        <v>0.3515625</v>
      </c>
      <c r="R48">
        <v>375</v>
      </c>
    </row>
    <row r="49" spans="2:18">
      <c r="B49" s="5">
        <f>(D49-D48)/(C49-C48)</f>
        <v>4.6847999999999095</v>
      </c>
      <c r="C49" s="1">
        <v>4.8958333333333298E-2</v>
      </c>
      <c r="D49" s="2">
        <f t="shared" si="0"/>
        <v>0.34550400000000003</v>
      </c>
      <c r="E49">
        <v>354</v>
      </c>
      <c r="O49" s="5">
        <f>(Q49-Q48)/(P49-P48)</f>
        <v>5.3999999999998307</v>
      </c>
      <c r="P49" s="1">
        <v>4.8958333333333298E-2</v>
      </c>
      <c r="Q49" s="2">
        <f t="shared" si="1"/>
        <v>0.35718749999999999</v>
      </c>
      <c r="R49">
        <v>381</v>
      </c>
    </row>
    <row r="50" spans="2:18">
      <c r="B50" s="5">
        <f>(D50-D49)/(C50-C49)</f>
        <v>4.6847999999998251</v>
      </c>
      <c r="C50" s="1">
        <v>0.05</v>
      </c>
      <c r="D50" s="2">
        <f t="shared" si="0"/>
        <v>0.35038400000000003</v>
      </c>
      <c r="E50">
        <v>359</v>
      </c>
      <c r="O50" s="5">
        <f>(Q50-Q49)/(P50-P49)</f>
        <v>5.3999999999997952</v>
      </c>
      <c r="P50" s="1">
        <v>0.05</v>
      </c>
      <c r="Q50" s="2">
        <f t="shared" si="1"/>
        <v>0.36281249999999998</v>
      </c>
      <c r="R50">
        <v>387</v>
      </c>
    </row>
    <row r="51" spans="2:18">
      <c r="B51" s="5">
        <f>(D51-D50)/(C51-C50)</f>
        <v>4.6848000000002932</v>
      </c>
      <c r="C51" s="1">
        <v>5.1041666666666603E-2</v>
      </c>
      <c r="D51" s="2">
        <f t="shared" si="0"/>
        <v>0.35526400000000002</v>
      </c>
      <c r="E51">
        <v>364</v>
      </c>
      <c r="O51" s="5">
        <f>(Q51-Q50)/(P51-P50)</f>
        <v>5.4000000000003343</v>
      </c>
      <c r="P51" s="1">
        <v>5.1041666666666603E-2</v>
      </c>
      <c r="Q51" s="2">
        <f t="shared" si="1"/>
        <v>0.36843749999999997</v>
      </c>
      <c r="R51">
        <v>393</v>
      </c>
    </row>
    <row r="52" spans="2:18">
      <c r="B52" s="5">
        <f>(D52-D51)/(C52-C51)</f>
        <v>5.6217599999998065</v>
      </c>
      <c r="C52" s="1">
        <v>5.2083333333333301E-2</v>
      </c>
      <c r="D52" s="2">
        <f t="shared" si="0"/>
        <v>0.36112</v>
      </c>
      <c r="E52">
        <v>370</v>
      </c>
      <c r="O52" s="5">
        <f>(Q52-Q51)/(P52-P51)</f>
        <v>5.3999999999998307</v>
      </c>
      <c r="P52" s="1">
        <v>5.2083333333333301E-2</v>
      </c>
      <c r="Q52" s="2">
        <f t="shared" si="1"/>
        <v>0.37406249999999996</v>
      </c>
      <c r="R52">
        <v>399</v>
      </c>
    </row>
    <row r="53" spans="2:18">
      <c r="B53" s="5">
        <f>(D53-D52)/(C53-C52)</f>
        <v>4.6847999999998562</v>
      </c>
      <c r="C53" s="1">
        <v>5.3124999999999999E-2</v>
      </c>
      <c r="D53" s="2">
        <f t="shared" si="0"/>
        <v>0.36599999999999999</v>
      </c>
      <c r="E53">
        <v>375</v>
      </c>
      <c r="O53" s="5">
        <f>(Q53-Q52)/(P53-P52)</f>
        <v>5.399999999999884</v>
      </c>
      <c r="P53" s="1">
        <v>5.3124999999999999E-2</v>
      </c>
      <c r="Q53" s="2">
        <f t="shared" si="1"/>
        <v>0.37968750000000001</v>
      </c>
      <c r="R53">
        <v>405</v>
      </c>
    </row>
    <row r="54" spans="2:18">
      <c r="B54" s="5">
        <f>(D54-D53)/(C54-C53)</f>
        <v>5.6217600000003838</v>
      </c>
      <c r="C54" s="1">
        <v>5.4166666666666599E-2</v>
      </c>
      <c r="D54" s="2">
        <f t="shared" si="0"/>
        <v>0.37185600000000002</v>
      </c>
      <c r="E54">
        <v>381</v>
      </c>
      <c r="O54" s="5">
        <f>(Q54-Q53)/(P54-P53)</f>
        <v>5.4000000000003343</v>
      </c>
      <c r="P54" s="1">
        <v>5.4166666666666599E-2</v>
      </c>
      <c r="Q54" s="2">
        <f t="shared" si="1"/>
        <v>0.3853125</v>
      </c>
      <c r="R54">
        <v>411</v>
      </c>
    </row>
    <row r="55" spans="2:18">
      <c r="B55" s="5">
        <f>(D55-D54)/(C55-C54)</f>
        <v>4.6847999999998562</v>
      </c>
      <c r="C55" s="1">
        <v>5.5208333333333297E-2</v>
      </c>
      <c r="D55" s="2">
        <f t="shared" si="0"/>
        <v>0.37673600000000002</v>
      </c>
      <c r="E55">
        <v>386</v>
      </c>
      <c r="O55" s="5">
        <f>(Q55-Q54)/(P55-P54)</f>
        <v>5.3999999999998307</v>
      </c>
      <c r="P55" s="1">
        <v>5.5208333333333297E-2</v>
      </c>
      <c r="Q55" s="2">
        <f t="shared" si="1"/>
        <v>0.39093749999999999</v>
      </c>
      <c r="R55">
        <v>417</v>
      </c>
    </row>
    <row r="56" spans="2:18">
      <c r="B56" s="5">
        <f>(D56-D55)/(C56-C55)</f>
        <v>5.6217599999997692</v>
      </c>
      <c r="C56" s="1">
        <v>5.6250000000000001E-2</v>
      </c>
      <c r="D56" s="2">
        <f t="shared" si="0"/>
        <v>0.38259199999999999</v>
      </c>
      <c r="E56">
        <v>392</v>
      </c>
      <c r="O56" s="5">
        <f>(Q56-Q55)/(P56-P55)</f>
        <v>5.3999999999997952</v>
      </c>
      <c r="P56" s="1">
        <v>5.6250000000000001E-2</v>
      </c>
      <c r="Q56" s="2">
        <f t="shared" si="1"/>
        <v>0.39656249999999998</v>
      </c>
      <c r="R56">
        <v>423</v>
      </c>
    </row>
    <row r="57" spans="2:18">
      <c r="B57" s="5">
        <f>(D57-D56)/(C57-C56)</f>
        <v>4.6848000000002932</v>
      </c>
      <c r="C57" s="1">
        <v>5.7291666666666602E-2</v>
      </c>
      <c r="D57" s="2">
        <f t="shared" si="0"/>
        <v>0.38747199999999998</v>
      </c>
      <c r="E57">
        <v>397</v>
      </c>
      <c r="O57" s="5">
        <f>(Q57-Q56)/(P57-P56)</f>
        <v>5.4000000000003343</v>
      </c>
      <c r="P57" s="1">
        <v>5.7291666666666602E-2</v>
      </c>
      <c r="Q57" s="2">
        <f t="shared" si="1"/>
        <v>0.40218749999999998</v>
      </c>
      <c r="R57">
        <v>429</v>
      </c>
    </row>
    <row r="58" spans="2:18">
      <c r="B58" s="5">
        <f>(D58-D57)/(C58-C57)</f>
        <v>4.6847999999998562</v>
      </c>
      <c r="C58" s="1">
        <v>5.83333333333333E-2</v>
      </c>
      <c r="D58" s="2">
        <f t="shared" si="0"/>
        <v>0.39235199999999998</v>
      </c>
      <c r="E58">
        <v>402</v>
      </c>
      <c r="O58" s="5">
        <f>(Q58-Q57)/(P58-P57)</f>
        <v>5.3999999999998307</v>
      </c>
      <c r="P58" s="1">
        <v>5.83333333333333E-2</v>
      </c>
      <c r="Q58" s="2">
        <f t="shared" si="1"/>
        <v>0.40781249999999997</v>
      </c>
      <c r="R58">
        <v>435</v>
      </c>
    </row>
    <row r="59" spans="2:18">
      <c r="B59" s="5">
        <f>(D59-D58)/(C59-C58)</f>
        <v>5.6217599999998065</v>
      </c>
      <c r="C59" s="1">
        <v>5.9374999999999997E-2</v>
      </c>
      <c r="D59" s="2">
        <f t="shared" si="0"/>
        <v>0.39820799999999995</v>
      </c>
      <c r="E59">
        <v>408</v>
      </c>
      <c r="O59" s="5">
        <f>(Q59-Q58)/(P59-P58)</f>
        <v>5.3999999999998307</v>
      </c>
      <c r="P59" s="1">
        <v>5.9374999999999997E-2</v>
      </c>
      <c r="Q59" s="2">
        <f t="shared" si="1"/>
        <v>0.41343749999999996</v>
      </c>
      <c r="R59">
        <v>441</v>
      </c>
    </row>
    <row r="60" spans="2:18">
      <c r="B60" s="5">
        <f>(D60-D59)/(C60-C59)</f>
        <v>4.6848000000002932</v>
      </c>
      <c r="C60" s="1">
        <v>6.0416666666666598E-2</v>
      </c>
      <c r="D60" s="2">
        <f t="shared" si="0"/>
        <v>0.40308799999999995</v>
      </c>
      <c r="E60">
        <v>413</v>
      </c>
      <c r="O60" s="5">
        <f>(Q60-Q59)/(P60-P59)</f>
        <v>6.3000000000004253</v>
      </c>
      <c r="P60" s="1">
        <v>6.0416666666666598E-2</v>
      </c>
      <c r="Q60" s="2">
        <f t="shared" si="1"/>
        <v>0.42</v>
      </c>
      <c r="R60">
        <v>448</v>
      </c>
    </row>
    <row r="61" spans="2:18">
      <c r="B61" s="5">
        <f>(D61-D60)/(C61-C60)</f>
        <v>5.6217599999998757</v>
      </c>
      <c r="C61" s="1">
        <v>6.1458333333333302E-2</v>
      </c>
      <c r="D61" s="2">
        <f t="shared" si="0"/>
        <v>0.40894400000000003</v>
      </c>
      <c r="E61">
        <v>419</v>
      </c>
      <c r="O61" s="5">
        <f>(Q61-Q60)/(P61-P60)</f>
        <v>5.3999999999997952</v>
      </c>
      <c r="P61" s="1">
        <v>6.1458333333333302E-2</v>
      </c>
      <c r="Q61" s="2">
        <f t="shared" si="1"/>
        <v>0.42562499999999998</v>
      </c>
      <c r="R61">
        <v>454</v>
      </c>
    </row>
    <row r="62" spans="2:18">
      <c r="B62" s="5">
        <f>(D62-D61)/(C62-C61)</f>
        <v>4.6847999999998562</v>
      </c>
      <c r="C62" s="1">
        <v>6.25E-2</v>
      </c>
      <c r="D62" s="2">
        <f t="shared" si="0"/>
        <v>0.41382400000000003</v>
      </c>
      <c r="E62">
        <v>424</v>
      </c>
      <c r="O62" s="5">
        <f>(Q62-Q61)/(P62-P61)</f>
        <v>5.3999999999998307</v>
      </c>
      <c r="P62" s="1">
        <v>6.25E-2</v>
      </c>
      <c r="Q62" s="2">
        <f t="shared" si="1"/>
        <v>0.43124999999999997</v>
      </c>
      <c r="R62">
        <v>460</v>
      </c>
    </row>
    <row r="63" spans="2:18">
      <c r="B63" s="5">
        <f>(D63-D62)/(C63-C62)</f>
        <v>5.6217600000003678</v>
      </c>
      <c r="C63" s="1">
        <v>6.3541666666666594E-2</v>
      </c>
      <c r="D63" s="2">
        <f t="shared" si="0"/>
        <v>0.41968</v>
      </c>
      <c r="E63">
        <v>430</v>
      </c>
      <c r="O63" s="5">
        <f>(Q63-Q62)/(P63-P62)</f>
        <v>5.4000000000003707</v>
      </c>
      <c r="P63" s="1">
        <v>6.3541666666666594E-2</v>
      </c>
      <c r="Q63" s="2">
        <f t="shared" si="1"/>
        <v>0.43687499999999996</v>
      </c>
      <c r="R63">
        <v>466</v>
      </c>
    </row>
    <row r="64" spans="2:18">
      <c r="B64" s="5">
        <f>(D64-D63)/(C64-C63)</f>
        <v>4.6847999999998251</v>
      </c>
      <c r="C64" s="1">
        <v>6.4583333333333298E-2</v>
      </c>
      <c r="D64" s="2">
        <f t="shared" si="0"/>
        <v>0.42455999999999999</v>
      </c>
      <c r="E64">
        <v>435</v>
      </c>
      <c r="O64" s="5">
        <f>(Q64-Q63)/(P64-P63)</f>
        <v>5.3999999999998485</v>
      </c>
      <c r="P64" s="1">
        <v>6.4583333333333298E-2</v>
      </c>
      <c r="Q64" s="2">
        <f t="shared" si="1"/>
        <v>0.4425</v>
      </c>
      <c r="R64">
        <v>472</v>
      </c>
    </row>
    <row r="65" spans="2:18">
      <c r="B65" s="5">
        <f>(D65-D64)/(C65-C64)</f>
        <v>5.6217599999998225</v>
      </c>
      <c r="C65" s="1">
        <v>6.5625000000000003E-2</v>
      </c>
      <c r="D65" s="2">
        <f t="shared" si="0"/>
        <v>0.43041600000000002</v>
      </c>
      <c r="E65">
        <v>441</v>
      </c>
      <c r="O65" s="5">
        <f>(Q65-Q64)/(P65-P64)</f>
        <v>2.6999999999998976</v>
      </c>
      <c r="P65" s="1">
        <v>6.5625000000000003E-2</v>
      </c>
      <c r="Q65" s="2">
        <f t="shared" si="1"/>
        <v>0.4453125</v>
      </c>
      <c r="R65">
        <v>475</v>
      </c>
    </row>
    <row r="66" spans="2:18">
      <c r="B66" s="5">
        <f>(D66-D65)/(C66-C65)</f>
        <v>4.6848000000003243</v>
      </c>
      <c r="C66" s="1">
        <v>6.6666666666666596E-2</v>
      </c>
      <c r="D66" s="2">
        <f t="shared" si="0"/>
        <v>0.43529600000000002</v>
      </c>
      <c r="E66">
        <v>446</v>
      </c>
      <c r="O66" s="5">
        <f>(Q66-Q65)/(P66-P65)</f>
        <v>1.800000000000088</v>
      </c>
      <c r="P66" s="1">
        <v>6.6666666666666596E-2</v>
      </c>
      <c r="Q66" s="2">
        <f t="shared" si="1"/>
        <v>0.44718749999999996</v>
      </c>
      <c r="R66">
        <v>477</v>
      </c>
    </row>
    <row r="67" spans="2:18">
      <c r="B67" s="5">
        <f>(D67-D66)/(C67-C66)</f>
        <v>5.6217599999997692</v>
      </c>
      <c r="C67" s="1">
        <v>6.7708333333333301E-2</v>
      </c>
      <c r="D67" s="2">
        <f t="shared" ref="D67:D130" si="2">(0.244*E67)/250</f>
        <v>0.44115199999999999</v>
      </c>
      <c r="E67">
        <v>452</v>
      </c>
      <c r="O67" s="5">
        <f>(Q67-Q66)/(P67-P66)</f>
        <v>0</v>
      </c>
      <c r="P67" s="1">
        <v>6.7708333333333301E-2</v>
      </c>
      <c r="Q67" s="2">
        <f t="shared" ref="Q67:Q130" si="3">(0.24*R67)/256</f>
        <v>0.44718749999999996</v>
      </c>
      <c r="R67">
        <v>477</v>
      </c>
    </row>
    <row r="68" spans="2:18">
      <c r="B68" s="5">
        <f>(D68-D67)/(C68-C67)</f>
        <v>4.6847999999998251</v>
      </c>
      <c r="C68" s="1">
        <v>6.8750000000000006E-2</v>
      </c>
      <c r="D68" s="2">
        <f t="shared" si="2"/>
        <v>0.44603199999999998</v>
      </c>
      <c r="E68">
        <v>457</v>
      </c>
      <c r="O68" s="5">
        <f>(Q68-Q67)/(P68-P67)</f>
        <v>-1.7999999999998961</v>
      </c>
      <c r="P68" s="1">
        <v>6.8750000000000006E-2</v>
      </c>
      <c r="Q68" s="2">
        <f t="shared" si="3"/>
        <v>0.4453125</v>
      </c>
      <c r="R68">
        <v>475</v>
      </c>
    </row>
    <row r="69" spans="2:18">
      <c r="B69" s="5">
        <f>(D69-D68)/(C69-C68)</f>
        <v>4.6848000000003243</v>
      </c>
      <c r="C69" s="1">
        <v>6.9791666666666599E-2</v>
      </c>
      <c r="D69" s="2">
        <f t="shared" si="2"/>
        <v>0.45091199999999998</v>
      </c>
      <c r="E69">
        <v>462</v>
      </c>
      <c r="O69" s="5">
        <f>(Q69-Q68)/(P69-P68)</f>
        <v>-3.6000000000002825</v>
      </c>
      <c r="P69" s="1">
        <v>6.9791666666666599E-2</v>
      </c>
      <c r="Q69" s="2">
        <f t="shared" si="3"/>
        <v>0.44156249999999997</v>
      </c>
      <c r="R69">
        <v>471</v>
      </c>
    </row>
    <row r="70" spans="2:18">
      <c r="B70" s="5">
        <f>(D70-D69)/(C70-C69)</f>
        <v>2.8108799999998846</v>
      </c>
      <c r="C70" s="1">
        <v>7.0833333333333304E-2</v>
      </c>
      <c r="D70" s="2">
        <f t="shared" si="2"/>
        <v>0.45383999999999997</v>
      </c>
      <c r="E70">
        <v>465</v>
      </c>
      <c r="O70" s="5">
        <f>(Q70-Q69)/(P70-P69)</f>
        <v>-3.5999999999998455</v>
      </c>
      <c r="P70" s="1">
        <v>7.0833333333333304E-2</v>
      </c>
      <c r="Q70" s="2">
        <f t="shared" si="3"/>
        <v>0.43781249999999999</v>
      </c>
      <c r="R70">
        <v>467</v>
      </c>
    </row>
    <row r="71" spans="2:18">
      <c r="B71" s="5">
        <f>(D71-D70)/(C71-C70)</f>
        <v>1.8739199999999656</v>
      </c>
      <c r="C71" s="1">
        <v>7.1874999999999994E-2</v>
      </c>
      <c r="D71" s="2">
        <f t="shared" si="2"/>
        <v>0.45579199999999997</v>
      </c>
      <c r="E71">
        <v>467</v>
      </c>
      <c r="O71" s="5">
        <f>(Q71-Q70)/(P71-P70)</f>
        <v>-4.4999999999999067</v>
      </c>
      <c r="P71" s="1">
        <v>7.1874999999999994E-2</v>
      </c>
      <c r="Q71" s="2">
        <f t="shared" si="3"/>
        <v>0.43312499999999998</v>
      </c>
      <c r="R71">
        <v>462</v>
      </c>
    </row>
    <row r="72" spans="2:18">
      <c r="B72" s="5">
        <f>(D72-D71)/(C72-C71)</f>
        <v>0</v>
      </c>
      <c r="C72" s="1">
        <v>7.2916666666666602E-2</v>
      </c>
      <c r="D72" s="2">
        <f t="shared" si="2"/>
        <v>0.45579199999999997</v>
      </c>
      <c r="E72">
        <v>467</v>
      </c>
      <c r="O72" s="5">
        <f>(Q72-Q71)/(P72-P71)</f>
        <v>-4.5000000000002665</v>
      </c>
      <c r="P72" s="1">
        <v>7.2916666666666602E-2</v>
      </c>
      <c r="Q72" s="2">
        <f t="shared" si="3"/>
        <v>0.42843749999999997</v>
      </c>
      <c r="R72">
        <v>457</v>
      </c>
    </row>
    <row r="73" spans="2:18">
      <c r="B73" s="5">
        <f>(D73-D72)/(C73-C72)</f>
        <v>-1.8739199999999407</v>
      </c>
      <c r="C73" s="1">
        <v>7.3958333333333307E-2</v>
      </c>
      <c r="D73" s="2">
        <f t="shared" si="2"/>
        <v>0.45383999999999997</v>
      </c>
      <c r="E73">
        <v>465</v>
      </c>
      <c r="O73" s="5">
        <f>(Q73-Q72)/(P73-P72)</f>
        <v>-4.4999999999998472</v>
      </c>
      <c r="P73" s="1">
        <v>7.3958333333333307E-2</v>
      </c>
      <c r="Q73" s="2">
        <f t="shared" si="3"/>
        <v>0.42374999999999996</v>
      </c>
      <c r="R73">
        <v>452</v>
      </c>
    </row>
    <row r="74" spans="2:18">
      <c r="B74" s="5">
        <f>(D74-D73)/(C74-C73)</f>
        <v>-2.8108799999999219</v>
      </c>
      <c r="C74" s="1">
        <v>7.4999999999999997E-2</v>
      </c>
      <c r="D74" s="2">
        <f t="shared" si="2"/>
        <v>0.45091199999999998</v>
      </c>
      <c r="E74">
        <v>462</v>
      </c>
      <c r="O74" s="5">
        <f>(Q74-Q73)/(P74-P73)</f>
        <v>-4.4999999999998535</v>
      </c>
      <c r="P74" s="1">
        <v>7.4999999999999997E-2</v>
      </c>
      <c r="Q74" s="2">
        <f t="shared" si="3"/>
        <v>0.4190625</v>
      </c>
      <c r="R74">
        <v>447</v>
      </c>
    </row>
    <row r="75" spans="2:18">
      <c r="B75" s="5">
        <f>(D75-D74)/(C75-C74)</f>
        <v>-3.747840000000231</v>
      </c>
      <c r="C75" s="1">
        <v>7.6041666666666605E-2</v>
      </c>
      <c r="D75" s="2">
        <f t="shared" si="2"/>
        <v>0.44700799999999996</v>
      </c>
      <c r="E75">
        <v>458</v>
      </c>
      <c r="O75" s="5">
        <f>(Q75-Q74)/(P75-P74)</f>
        <v>-4.5000000000002665</v>
      </c>
      <c r="P75" s="1">
        <v>7.6041666666666605E-2</v>
      </c>
      <c r="Q75" s="2">
        <f t="shared" si="3"/>
        <v>0.41437499999999999</v>
      </c>
      <c r="R75">
        <v>442</v>
      </c>
    </row>
    <row r="76" spans="2:18">
      <c r="B76" s="5">
        <f>(D76-D75)/(C76-C75)</f>
        <v>-3.7478399999998779</v>
      </c>
      <c r="C76" s="1">
        <v>7.7083333333333295E-2</v>
      </c>
      <c r="D76" s="2">
        <f t="shared" si="2"/>
        <v>0.443104</v>
      </c>
      <c r="E76">
        <v>454</v>
      </c>
      <c r="O76" s="5">
        <f>(Q76-Q75)/(P76-P75)</f>
        <v>-4.4999999999999067</v>
      </c>
      <c r="P76" s="1">
        <v>7.7083333333333295E-2</v>
      </c>
      <c r="Q76" s="2">
        <f t="shared" si="3"/>
        <v>0.40968749999999998</v>
      </c>
      <c r="R76">
        <v>437</v>
      </c>
    </row>
    <row r="77" spans="2:18">
      <c r="B77" s="5">
        <f>(D77-D76)/(C77-C76)</f>
        <v>-4.6847999999998251</v>
      </c>
      <c r="C77" s="1">
        <v>7.8125E-2</v>
      </c>
      <c r="D77" s="2">
        <f t="shared" si="2"/>
        <v>0.438224</v>
      </c>
      <c r="E77">
        <v>449</v>
      </c>
      <c r="O77" s="5">
        <f>(Q77-Q76)/(P77-P76)</f>
        <v>-4.4999999999998472</v>
      </c>
      <c r="P77" s="1">
        <v>7.8125E-2</v>
      </c>
      <c r="Q77" s="2">
        <f t="shared" si="3"/>
        <v>0.40499999999999997</v>
      </c>
      <c r="R77">
        <v>432</v>
      </c>
    </row>
    <row r="78" spans="2:18">
      <c r="B78" s="5">
        <f>(D78-D77)/(C78-C77)</f>
        <v>-4.6848000000003243</v>
      </c>
      <c r="C78" s="1">
        <v>7.9166666666666594E-2</v>
      </c>
      <c r="D78" s="2">
        <f t="shared" si="2"/>
        <v>0.43334400000000001</v>
      </c>
      <c r="E78">
        <v>444</v>
      </c>
      <c r="O78" s="5">
        <f>(Q78-Q77)/(P78-P77)</f>
        <v>-4.5000000000003268</v>
      </c>
      <c r="P78" s="1">
        <v>7.9166666666666594E-2</v>
      </c>
      <c r="Q78" s="2">
        <f t="shared" si="3"/>
        <v>0.40031249999999996</v>
      </c>
      <c r="R78">
        <v>427</v>
      </c>
    </row>
    <row r="79" spans="2:18">
      <c r="B79" s="5">
        <f>(D79-D78)/(C79-C78)</f>
        <v>-4.6847999999998251</v>
      </c>
      <c r="C79" s="1">
        <v>8.0208333333333298E-2</v>
      </c>
      <c r="D79" s="2">
        <f t="shared" si="2"/>
        <v>0.42846400000000001</v>
      </c>
      <c r="E79">
        <v>439</v>
      </c>
      <c r="O79" s="5">
        <f>(Q79-Q78)/(P79-P78)</f>
        <v>-4.4999999999997939</v>
      </c>
      <c r="P79" s="1">
        <v>8.0208333333333298E-2</v>
      </c>
      <c r="Q79" s="2">
        <f t="shared" si="3"/>
        <v>0.395625</v>
      </c>
      <c r="R79">
        <v>422</v>
      </c>
    </row>
    <row r="80" spans="2:18">
      <c r="B80" s="5">
        <f>(D80-D79)/(C80-C79)</f>
        <v>-3.7478399999998815</v>
      </c>
      <c r="C80" s="1">
        <v>8.1250000000000003E-2</v>
      </c>
      <c r="D80" s="2">
        <f t="shared" si="2"/>
        <v>0.42455999999999999</v>
      </c>
      <c r="E80">
        <v>435</v>
      </c>
      <c r="O80" s="5">
        <f>(Q80-Q79)/(P80-P79)</f>
        <v>-4.4999999999998472</v>
      </c>
      <c r="P80" s="1">
        <v>8.1250000000000003E-2</v>
      </c>
      <c r="Q80" s="2">
        <f t="shared" si="3"/>
        <v>0.39093749999999999</v>
      </c>
      <c r="R80">
        <v>417</v>
      </c>
    </row>
    <row r="81" spans="2:18">
      <c r="B81" s="5">
        <f>(D81-D80)/(C81-C80)</f>
        <v>-4.6848000000003243</v>
      </c>
      <c r="C81" s="1">
        <v>8.2291666666666596E-2</v>
      </c>
      <c r="D81" s="2">
        <f t="shared" si="2"/>
        <v>0.41968</v>
      </c>
      <c r="E81">
        <v>430</v>
      </c>
      <c r="O81" s="5">
        <f>(Q81-Q80)/(P81-P80)</f>
        <v>-4.5000000000003268</v>
      </c>
      <c r="P81" s="1">
        <v>8.2291666666666596E-2</v>
      </c>
      <c r="Q81" s="2">
        <f t="shared" si="3"/>
        <v>0.38624999999999998</v>
      </c>
      <c r="R81">
        <v>412</v>
      </c>
    </row>
    <row r="82" spans="2:18">
      <c r="B82" s="5">
        <f>(D82-D81)/(C82-C81)</f>
        <v>-4.6847999999998251</v>
      </c>
      <c r="C82" s="1">
        <v>8.3333333333333301E-2</v>
      </c>
      <c r="D82" s="2">
        <f t="shared" si="2"/>
        <v>0.4148</v>
      </c>
      <c r="E82">
        <v>425</v>
      </c>
      <c r="O82" s="5">
        <f>(Q82-Q81)/(P82-P81)</f>
        <v>-4.4999999999998472</v>
      </c>
      <c r="P82" s="1">
        <v>8.3333333333333301E-2</v>
      </c>
      <c r="Q82" s="2">
        <f t="shared" si="3"/>
        <v>0.38156249999999997</v>
      </c>
      <c r="R82">
        <v>407</v>
      </c>
    </row>
    <row r="83" spans="2:18">
      <c r="B83" s="5">
        <f>(D83-D82)/(C83-C82)</f>
        <v>-3.7478399999998282</v>
      </c>
      <c r="C83" s="1">
        <v>8.4375000000000006E-2</v>
      </c>
      <c r="D83" s="2">
        <f t="shared" si="2"/>
        <v>0.41089600000000004</v>
      </c>
      <c r="E83">
        <v>421</v>
      </c>
      <c r="O83" s="5">
        <f>(Q83-Q82)/(P83-P82)</f>
        <v>-4.4999999999998472</v>
      </c>
      <c r="P83" s="1">
        <v>8.4375000000000006E-2</v>
      </c>
      <c r="Q83" s="2">
        <f t="shared" si="3"/>
        <v>0.37687499999999996</v>
      </c>
      <c r="R83">
        <v>402</v>
      </c>
    </row>
    <row r="84" spans="2:18">
      <c r="B84" s="5">
        <f>(D84-D83)/(C84-C83)</f>
        <v>-4.6848000000003776</v>
      </c>
      <c r="C84" s="1">
        <v>8.5416666666666599E-2</v>
      </c>
      <c r="D84" s="2">
        <f t="shared" si="2"/>
        <v>0.40601599999999999</v>
      </c>
      <c r="E84">
        <v>416</v>
      </c>
      <c r="O84" s="5">
        <f>(Q84-Q83)/(P84-P83)</f>
        <v>-3.6000000000002292</v>
      </c>
      <c r="P84" s="1">
        <v>8.5416666666666599E-2</v>
      </c>
      <c r="Q84" s="2">
        <f t="shared" si="3"/>
        <v>0.37312499999999998</v>
      </c>
      <c r="R84">
        <v>398</v>
      </c>
    </row>
    <row r="85" spans="2:18">
      <c r="B85" s="5">
        <f>(D85-D84)/(C85-C84)</f>
        <v>-3.7478399999998815</v>
      </c>
      <c r="C85" s="1">
        <v>8.6458333333333304E-2</v>
      </c>
      <c r="D85" s="2">
        <f t="shared" si="2"/>
        <v>0.40211199999999997</v>
      </c>
      <c r="E85">
        <v>412</v>
      </c>
      <c r="O85" s="5">
        <f>(Q85-Q84)/(P85-P84)</f>
        <v>-4.4999999999998472</v>
      </c>
      <c r="P85" s="1">
        <v>8.6458333333333304E-2</v>
      </c>
      <c r="Q85" s="2">
        <f t="shared" si="3"/>
        <v>0.36843749999999997</v>
      </c>
      <c r="R85">
        <v>393</v>
      </c>
    </row>
    <row r="86" spans="2:18">
      <c r="B86" s="5">
        <f>(D86-D85)/(C86-C85)</f>
        <v>-4.6847999999998873</v>
      </c>
      <c r="C86" s="1">
        <v>8.7499999999999994E-2</v>
      </c>
      <c r="D86" s="2">
        <f t="shared" si="2"/>
        <v>0.39723199999999997</v>
      </c>
      <c r="E86">
        <v>407</v>
      </c>
      <c r="O86" s="5">
        <f>(Q86-Q85)/(P86-P85)</f>
        <v>-4.4999999999999067</v>
      </c>
      <c r="P86" s="1">
        <v>8.7499999999999994E-2</v>
      </c>
      <c r="Q86" s="2">
        <f t="shared" si="3"/>
        <v>0.36374999999999996</v>
      </c>
      <c r="R86">
        <v>388</v>
      </c>
    </row>
    <row r="87" spans="2:18">
      <c r="B87" s="5">
        <f>(D87-D86)/(C87-C86)</f>
        <v>-4.6848000000002621</v>
      </c>
      <c r="C87" s="1">
        <v>8.8541666666666602E-2</v>
      </c>
      <c r="D87" s="2">
        <f t="shared" si="2"/>
        <v>0.39235199999999998</v>
      </c>
      <c r="E87">
        <v>402</v>
      </c>
      <c r="O87" s="5">
        <f>(Q87-Q86)/(P87-P86)</f>
        <v>-4.5000000000002132</v>
      </c>
      <c r="P87" s="1">
        <v>8.8541666666666602E-2</v>
      </c>
      <c r="Q87" s="2">
        <f t="shared" si="3"/>
        <v>0.35906250000000001</v>
      </c>
      <c r="R87">
        <v>383</v>
      </c>
    </row>
    <row r="88" spans="2:18">
      <c r="B88" s="5">
        <f>(D88-D87)/(C88-C87)</f>
        <v>-3.7478399999998815</v>
      </c>
      <c r="C88" s="1">
        <v>8.9583333333333307E-2</v>
      </c>
      <c r="D88" s="2">
        <f t="shared" si="2"/>
        <v>0.38844799999999996</v>
      </c>
      <c r="E88">
        <v>398</v>
      </c>
      <c r="O88" s="5">
        <f>(Q88-Q87)/(P88-P87)</f>
        <v>-4.4999999999998472</v>
      </c>
      <c r="P88" s="1">
        <v>8.9583333333333307E-2</v>
      </c>
      <c r="Q88" s="2">
        <f t="shared" si="3"/>
        <v>0.354375</v>
      </c>
      <c r="R88">
        <v>378</v>
      </c>
    </row>
    <row r="89" spans="2:18">
      <c r="B89" s="5">
        <f>(D89-D88)/(C89-C88)</f>
        <v>-4.6847999999998873</v>
      </c>
      <c r="C89" s="1">
        <v>9.0624999999999997E-2</v>
      </c>
      <c r="D89" s="2">
        <f t="shared" si="2"/>
        <v>0.38356799999999996</v>
      </c>
      <c r="E89">
        <v>393</v>
      </c>
      <c r="O89" s="5">
        <f>(Q89-Q88)/(P89-P88)</f>
        <v>-3.5999999999999468</v>
      </c>
      <c r="P89" s="1">
        <v>9.0624999999999997E-2</v>
      </c>
      <c r="Q89" s="2">
        <f t="shared" si="3"/>
        <v>0.35062499999999996</v>
      </c>
      <c r="R89">
        <v>374</v>
      </c>
    </row>
    <row r="90" spans="2:18">
      <c r="B90" s="5">
        <f>(D90-D89)/(C90-C89)</f>
        <v>-3.7478400000001777</v>
      </c>
      <c r="C90" s="1">
        <v>9.1666666666666605E-2</v>
      </c>
      <c r="D90" s="2">
        <f t="shared" si="2"/>
        <v>0.379664</v>
      </c>
      <c r="E90">
        <v>389</v>
      </c>
      <c r="O90" s="5">
        <f>(Q90-Q89)/(P90-P89)</f>
        <v>-4.5000000000002132</v>
      </c>
      <c r="P90" s="1">
        <v>9.1666666666666605E-2</v>
      </c>
      <c r="Q90" s="2">
        <f t="shared" si="3"/>
        <v>0.34593750000000001</v>
      </c>
      <c r="R90">
        <v>369</v>
      </c>
    </row>
    <row r="91" spans="2:18">
      <c r="B91" s="5">
        <f>(D91-D90)/(C91-C90)</f>
        <v>-4.6847999999998873</v>
      </c>
      <c r="C91" s="1">
        <v>9.2708333333333295E-2</v>
      </c>
      <c r="D91" s="2">
        <f t="shared" si="2"/>
        <v>0.37478400000000001</v>
      </c>
      <c r="E91">
        <v>384</v>
      </c>
      <c r="O91" s="5">
        <f>(Q91-Q90)/(P91-P90)</f>
        <v>-4.4999999999999067</v>
      </c>
      <c r="P91" s="1">
        <v>9.2708333333333295E-2</v>
      </c>
      <c r="Q91" s="2">
        <f t="shared" si="3"/>
        <v>0.34125</v>
      </c>
      <c r="R91">
        <v>364</v>
      </c>
    </row>
    <row r="92" spans="2:18">
      <c r="B92" s="5">
        <f>(D92-D91)/(C92-C91)</f>
        <v>-4.6847999999998251</v>
      </c>
      <c r="C92" s="1">
        <v>9.375E-2</v>
      </c>
      <c r="D92" s="2">
        <f t="shared" si="2"/>
        <v>0.36990400000000001</v>
      </c>
      <c r="E92">
        <v>379</v>
      </c>
      <c r="O92" s="5">
        <f>(Q92-Q91)/(P92-P91)</f>
        <v>-3.5999999999998988</v>
      </c>
      <c r="P92" s="1">
        <v>9.375E-2</v>
      </c>
      <c r="Q92" s="2">
        <f t="shared" si="3"/>
        <v>0.33749999999999997</v>
      </c>
      <c r="R92">
        <v>360</v>
      </c>
    </row>
    <row r="93" spans="2:18">
      <c r="B93" s="5">
        <f>(D93-D92)/(C93-C92)</f>
        <v>-3.7478400000002807</v>
      </c>
      <c r="C93" s="1">
        <v>9.4791666666666594E-2</v>
      </c>
      <c r="D93" s="2">
        <f t="shared" si="2"/>
        <v>0.36599999999999999</v>
      </c>
      <c r="E93">
        <v>375</v>
      </c>
      <c r="O93" s="5">
        <f>(Q93-Q92)/(P93-P92)</f>
        <v>-4.5000000000002736</v>
      </c>
      <c r="P93" s="1">
        <v>9.4791666666666594E-2</v>
      </c>
      <c r="Q93" s="2">
        <f t="shared" si="3"/>
        <v>0.33281250000000001</v>
      </c>
      <c r="R93">
        <v>355</v>
      </c>
    </row>
    <row r="94" spans="2:18">
      <c r="B94" s="5">
        <f>(D94-D93)/(C94-C93)</f>
        <v>-4.6847999999998251</v>
      </c>
      <c r="C94" s="1">
        <v>9.5833333333333298E-2</v>
      </c>
      <c r="D94" s="2">
        <f t="shared" si="2"/>
        <v>0.36112</v>
      </c>
      <c r="E94">
        <v>370</v>
      </c>
      <c r="O94" s="5">
        <f>(Q94-Q93)/(P94-P93)</f>
        <v>-4.4999999999998472</v>
      </c>
      <c r="P94" s="1">
        <v>9.5833333333333298E-2</v>
      </c>
      <c r="Q94" s="2">
        <f t="shared" si="3"/>
        <v>0.328125</v>
      </c>
      <c r="R94">
        <v>350</v>
      </c>
    </row>
    <row r="95" spans="2:18">
      <c r="B95" s="5">
        <f>(D95-D94)/(C95-C94)</f>
        <v>-3.7478399999998282</v>
      </c>
      <c r="C95" s="1">
        <v>9.6875000000000003E-2</v>
      </c>
      <c r="D95" s="2">
        <f t="shared" si="2"/>
        <v>0.35721600000000003</v>
      </c>
      <c r="E95">
        <v>366</v>
      </c>
      <c r="O95" s="5">
        <f>(Q95-Q94)/(P95-P94)</f>
        <v>-4.4999999999998472</v>
      </c>
      <c r="P95" s="1">
        <v>9.6875000000000003E-2</v>
      </c>
      <c r="Q95" s="2">
        <f t="shared" si="3"/>
        <v>0.32343749999999999</v>
      </c>
      <c r="R95">
        <v>345</v>
      </c>
    </row>
    <row r="96" spans="2:18">
      <c r="B96" s="5">
        <f>(D96-D95)/(C96-C95)</f>
        <v>-4.6848000000003243</v>
      </c>
      <c r="C96" s="1">
        <v>9.7916666666666596E-2</v>
      </c>
      <c r="D96" s="2">
        <f t="shared" si="2"/>
        <v>0.35233600000000004</v>
      </c>
      <c r="E96">
        <v>361</v>
      </c>
      <c r="O96" s="5">
        <f>(Q96-Q95)/(P96-P95)</f>
        <v>-3.6000000000002292</v>
      </c>
      <c r="P96" s="1">
        <v>9.7916666666666596E-2</v>
      </c>
      <c r="Q96" s="2">
        <f t="shared" si="3"/>
        <v>0.31968750000000001</v>
      </c>
      <c r="R96">
        <v>341</v>
      </c>
    </row>
    <row r="97" spans="2:18">
      <c r="B97" s="5">
        <f>(D97-D96)/(C97-C96)</f>
        <v>-3.7478399999998815</v>
      </c>
      <c r="C97" s="1">
        <v>9.8958333333333301E-2</v>
      </c>
      <c r="D97" s="2">
        <f t="shared" si="2"/>
        <v>0.34843200000000002</v>
      </c>
      <c r="E97">
        <v>357</v>
      </c>
      <c r="O97" s="5">
        <f>(Q97-Q96)/(P97-P96)</f>
        <v>-4.4999999999998472</v>
      </c>
      <c r="P97" s="1">
        <v>9.8958333333333301E-2</v>
      </c>
      <c r="Q97" s="2">
        <f t="shared" si="3"/>
        <v>0.315</v>
      </c>
      <c r="R97">
        <v>336</v>
      </c>
    </row>
    <row r="98" spans="2:18">
      <c r="B98" s="5">
        <f>(D98-D97)/(C98-C97)</f>
        <v>-4.6847999999998251</v>
      </c>
      <c r="C98" s="1">
        <v>0.1</v>
      </c>
      <c r="D98" s="2">
        <f t="shared" si="2"/>
        <v>0.34355200000000002</v>
      </c>
      <c r="E98">
        <v>352</v>
      </c>
      <c r="O98" s="5">
        <f>(Q98-Q97)/(P98-P97)</f>
        <v>-3.5999999999998988</v>
      </c>
      <c r="P98" s="1">
        <v>0.1</v>
      </c>
      <c r="Q98" s="2">
        <f t="shared" si="3"/>
        <v>0.31124999999999997</v>
      </c>
      <c r="R98">
        <v>332</v>
      </c>
    </row>
    <row r="99" spans="2:18">
      <c r="B99" s="5">
        <f>(D99-D98)/(C99-C98)</f>
        <v>-3.7478400000024812</v>
      </c>
      <c r="C99" s="1">
        <v>0.101041666666666</v>
      </c>
      <c r="D99" s="2">
        <f t="shared" si="2"/>
        <v>0.33964799999999995</v>
      </c>
      <c r="E99">
        <v>348</v>
      </c>
      <c r="O99" s="5">
        <f>(Q99-Q98)/(P99-P98)</f>
        <v>-4.5000000000028511</v>
      </c>
      <c r="P99" s="1">
        <v>0.101041666666666</v>
      </c>
      <c r="Q99" s="2">
        <f t="shared" si="3"/>
        <v>0.30656250000000002</v>
      </c>
      <c r="R99">
        <v>327</v>
      </c>
    </row>
    <row r="100" spans="2:18">
      <c r="B100" s="5">
        <f>(D100-D99)/(C100-C99)</f>
        <v>-3.7478399999987797</v>
      </c>
      <c r="C100" s="1">
        <v>0.102083333333333</v>
      </c>
      <c r="D100" s="2">
        <f t="shared" si="2"/>
        <v>0.33574399999999999</v>
      </c>
      <c r="E100">
        <v>344</v>
      </c>
      <c r="O100" s="5">
        <f>(Q100-Q99)/(P100-P99)</f>
        <v>-4.4999999999985878</v>
      </c>
      <c r="P100" s="1">
        <v>0.102083333333333</v>
      </c>
      <c r="Q100" s="2">
        <f t="shared" si="3"/>
        <v>0.301875</v>
      </c>
      <c r="R100">
        <v>322</v>
      </c>
    </row>
    <row r="101" spans="2:18">
      <c r="B101" s="5">
        <f>(D101-D100)/(C101-C100)</f>
        <v>-4.6847999999985142</v>
      </c>
      <c r="C101" s="1">
        <v>0.10312499999999999</v>
      </c>
      <c r="D101" s="2">
        <f t="shared" si="2"/>
        <v>0.33086399999999999</v>
      </c>
      <c r="E101">
        <v>339</v>
      </c>
      <c r="O101" s="5">
        <f>(Q101-Q100)/(P101-P100)</f>
        <v>-3.5999999999988916</v>
      </c>
      <c r="P101" s="1">
        <v>0.10312499999999999</v>
      </c>
      <c r="Q101" s="2">
        <f t="shared" si="3"/>
        <v>0.29812499999999997</v>
      </c>
      <c r="R101">
        <v>318</v>
      </c>
    </row>
    <row r="102" spans="2:18">
      <c r="B102" s="5">
        <f>(D102-D101)/(C102-C101)</f>
        <v>-3.7478400000023777</v>
      </c>
      <c r="C102" s="1">
        <v>0.10416666666666601</v>
      </c>
      <c r="D102" s="2">
        <f t="shared" si="2"/>
        <v>0.32695999999999997</v>
      </c>
      <c r="E102">
        <v>335</v>
      </c>
      <c r="O102" s="5">
        <f>(Q102-Q101)/(P102-P101)</f>
        <v>-4.5000000000028439</v>
      </c>
      <c r="P102" s="1">
        <v>0.10416666666666601</v>
      </c>
      <c r="Q102" s="2">
        <f t="shared" si="3"/>
        <v>0.29343749999999996</v>
      </c>
      <c r="R102">
        <v>313</v>
      </c>
    </row>
    <row r="103" spans="2:18">
      <c r="B103" s="5">
        <f>(D103-D102)/(C103-C102)</f>
        <v>-4.6847999999985142</v>
      </c>
      <c r="C103" s="1">
        <v>0.105208333333333</v>
      </c>
      <c r="D103" s="2">
        <f t="shared" si="2"/>
        <v>0.32207999999999998</v>
      </c>
      <c r="E103">
        <v>330</v>
      </c>
      <c r="O103" s="5">
        <f>(Q103-Q102)/(P103-P102)</f>
        <v>-3.5999999999988384</v>
      </c>
      <c r="P103" s="1">
        <v>0.105208333333333</v>
      </c>
      <c r="Q103" s="2">
        <f t="shared" si="3"/>
        <v>0.28968749999999999</v>
      </c>
      <c r="R103">
        <v>309</v>
      </c>
    </row>
    <row r="104" spans="2:18">
      <c r="B104" s="5">
        <f>(D104-D103)/(C104-C103)</f>
        <v>-3.7478399999987797</v>
      </c>
      <c r="C104" s="1">
        <v>0.10625</v>
      </c>
      <c r="D104" s="2">
        <f t="shared" si="2"/>
        <v>0.31817600000000001</v>
      </c>
      <c r="E104">
        <v>326</v>
      </c>
      <c r="O104" s="5">
        <f>(Q104-Q103)/(P104-P103)</f>
        <v>-4.4999999999985878</v>
      </c>
      <c r="P104" s="1">
        <v>0.10625</v>
      </c>
      <c r="Q104" s="2">
        <f t="shared" si="3"/>
        <v>0.28499999999999998</v>
      </c>
      <c r="R104">
        <v>304</v>
      </c>
    </row>
    <row r="105" spans="2:18">
      <c r="B105" s="5">
        <f>(D105-D104)/(C105-C104)</f>
        <v>-4.6848000000030083</v>
      </c>
      <c r="C105" s="1">
        <v>0.10729166666666599</v>
      </c>
      <c r="D105" s="2">
        <f t="shared" si="2"/>
        <v>0.31329600000000002</v>
      </c>
      <c r="E105">
        <v>321</v>
      </c>
      <c r="O105" s="5">
        <f>(Q105-Q104)/(P105-P104)</f>
        <v>-4.5000000000029043</v>
      </c>
      <c r="P105" s="1">
        <v>0.10729166666666599</v>
      </c>
      <c r="Q105" s="2">
        <f t="shared" si="3"/>
        <v>0.28031249999999996</v>
      </c>
      <c r="R105">
        <v>299</v>
      </c>
    </row>
    <row r="106" spans="2:18">
      <c r="B106" s="5">
        <f>(D106-D105)/(C106-C105)</f>
        <v>-3.7478399999987828</v>
      </c>
      <c r="C106" s="1">
        <v>0.108333333333333</v>
      </c>
      <c r="D106" s="2">
        <f t="shared" si="2"/>
        <v>0.309392</v>
      </c>
      <c r="E106">
        <v>317</v>
      </c>
      <c r="O106" s="5">
        <f>(Q106-Q105)/(P106-P105)</f>
        <v>-3.5999999999987904</v>
      </c>
      <c r="P106" s="1">
        <v>0.108333333333333</v>
      </c>
      <c r="Q106" s="2">
        <f t="shared" si="3"/>
        <v>0.27656249999999999</v>
      </c>
      <c r="R106">
        <v>295</v>
      </c>
    </row>
    <row r="107" spans="2:18">
      <c r="B107" s="5">
        <f>(D107-D106)/(C107-C106)</f>
        <v>-3.747839999998833</v>
      </c>
      <c r="C107" s="1">
        <v>0.109375</v>
      </c>
      <c r="D107" s="2">
        <f t="shared" si="2"/>
        <v>0.30548799999999998</v>
      </c>
      <c r="E107">
        <v>313</v>
      </c>
      <c r="O107" s="5">
        <f>(Q107-Q106)/(P107-P106)</f>
        <v>-4.4999999999985878</v>
      </c>
      <c r="P107" s="1">
        <v>0.109375</v>
      </c>
      <c r="Q107" s="2">
        <f t="shared" si="3"/>
        <v>0.27187499999999998</v>
      </c>
      <c r="R107">
        <v>290</v>
      </c>
    </row>
    <row r="108" spans="2:18">
      <c r="B108" s="5">
        <f>(D108-D107)/(C108-C107)</f>
        <v>-4.6848000000030083</v>
      </c>
      <c r="C108" s="1">
        <v>0.110416666666666</v>
      </c>
      <c r="D108" s="2">
        <f t="shared" si="2"/>
        <v>0.30060799999999999</v>
      </c>
      <c r="E108">
        <v>308</v>
      </c>
      <c r="O108" s="5">
        <f>(Q108-Q107)/(P108-P107)</f>
        <v>-3.6000000000022916</v>
      </c>
      <c r="P108" s="1">
        <v>0.110416666666666</v>
      </c>
      <c r="Q108" s="2">
        <f t="shared" si="3"/>
        <v>0.268125</v>
      </c>
      <c r="R108">
        <v>286</v>
      </c>
    </row>
    <row r="109" spans="2:18">
      <c r="B109" s="5">
        <f>(D109-D108)/(C109-C108)</f>
        <v>-3.7478399999987295</v>
      </c>
      <c r="C109" s="1">
        <v>0.11145833333333301</v>
      </c>
      <c r="D109" s="2">
        <f t="shared" si="2"/>
        <v>0.29670400000000002</v>
      </c>
      <c r="E109">
        <v>304</v>
      </c>
      <c r="O109" s="5">
        <f>(Q109-Q108)/(P109-P108)</f>
        <v>-4.4999999999985274</v>
      </c>
      <c r="P109" s="1">
        <v>0.11145833333333301</v>
      </c>
      <c r="Q109" s="2">
        <f t="shared" si="3"/>
        <v>0.26343749999999999</v>
      </c>
      <c r="R109">
        <v>281</v>
      </c>
    </row>
    <row r="110" spans="2:18">
      <c r="B110" s="5">
        <f>(D110-D109)/(C110-C109)</f>
        <v>-3.747839999998833</v>
      </c>
      <c r="C110" s="1">
        <v>0.1125</v>
      </c>
      <c r="D110" s="2">
        <f t="shared" si="2"/>
        <v>0.2928</v>
      </c>
      <c r="E110">
        <v>300</v>
      </c>
      <c r="O110" s="5">
        <f>(Q110-Q109)/(P110-P109)</f>
        <v>-4.4999999999985878</v>
      </c>
      <c r="P110" s="1">
        <v>0.1125</v>
      </c>
      <c r="Q110" s="2">
        <f t="shared" si="3"/>
        <v>0.25874999999999998</v>
      </c>
      <c r="R110">
        <v>276</v>
      </c>
    </row>
    <row r="111" spans="2:18">
      <c r="B111" s="5">
        <f>(D111-D110)/(C111-C110)</f>
        <v>-4.6848000000030083</v>
      </c>
      <c r="C111" s="1">
        <v>0.113541666666666</v>
      </c>
      <c r="D111" s="2">
        <f t="shared" si="2"/>
        <v>0.28792000000000001</v>
      </c>
      <c r="E111">
        <v>295</v>
      </c>
      <c r="O111" s="5">
        <f>(Q111-Q110)/(P111-P110)</f>
        <v>-3.6000000000022916</v>
      </c>
      <c r="P111" s="1">
        <v>0.113541666666666</v>
      </c>
      <c r="Q111" s="2">
        <f t="shared" si="3"/>
        <v>0.255</v>
      </c>
      <c r="R111">
        <v>272</v>
      </c>
    </row>
    <row r="112" spans="2:18">
      <c r="B112" s="5">
        <f>(D112-D111)/(C112-C111)</f>
        <v>-3.7478399999987797</v>
      </c>
      <c r="C112" s="1">
        <v>0.114583333333333</v>
      </c>
      <c r="D112" s="2">
        <f t="shared" si="2"/>
        <v>0.28401600000000005</v>
      </c>
      <c r="E112">
        <v>291</v>
      </c>
      <c r="O112" s="5">
        <f>(Q112-Q111)/(P112-P111)</f>
        <v>-3.5999999999988916</v>
      </c>
      <c r="P112" s="1">
        <v>0.114583333333333</v>
      </c>
      <c r="Q112" s="2">
        <f t="shared" si="3"/>
        <v>0.25124999999999997</v>
      </c>
      <c r="R112">
        <v>268</v>
      </c>
    </row>
    <row r="113" spans="2:18">
      <c r="B113" s="5">
        <f>(D113-D112)/(C113-C112)</f>
        <v>-4.6847999999985586</v>
      </c>
      <c r="C113" s="1">
        <v>0.11562500000000001</v>
      </c>
      <c r="D113" s="2">
        <f t="shared" si="2"/>
        <v>0.27913599999999994</v>
      </c>
      <c r="E113">
        <v>286</v>
      </c>
      <c r="O113" s="5">
        <f>(Q113-Q112)/(P113-P112)</f>
        <v>-4.4999999999985008</v>
      </c>
      <c r="P113" s="1">
        <v>0.11562500000000001</v>
      </c>
      <c r="Q113" s="2">
        <f t="shared" si="3"/>
        <v>0.24656249999999999</v>
      </c>
      <c r="R113">
        <v>263</v>
      </c>
    </row>
    <row r="114" spans="2:18">
      <c r="B114" s="5">
        <f>(D114-D113)/(C114-C113)</f>
        <v>-3.7478400000023746</v>
      </c>
      <c r="C114" s="1">
        <v>0.116666666666666</v>
      </c>
      <c r="D114" s="2">
        <f t="shared" si="2"/>
        <v>0.27523199999999998</v>
      </c>
      <c r="E114">
        <v>282</v>
      </c>
      <c r="O114" s="5">
        <f>(Q114-Q113)/(P114-P113)</f>
        <v>-4.5000000000029043</v>
      </c>
      <c r="P114" s="1">
        <v>0.116666666666666</v>
      </c>
      <c r="Q114" s="2">
        <f t="shared" si="3"/>
        <v>0.24187499999999998</v>
      </c>
      <c r="R114">
        <v>258</v>
      </c>
    </row>
    <row r="115" spans="2:18">
      <c r="B115" s="5">
        <f>(D115-D114)/(C115-C114)</f>
        <v>-3.747839999998833</v>
      </c>
      <c r="C115" s="1">
        <v>0.117708333333333</v>
      </c>
      <c r="D115" s="2">
        <f t="shared" si="2"/>
        <v>0.27132799999999996</v>
      </c>
      <c r="E115">
        <v>278</v>
      </c>
      <c r="O115" s="5">
        <f>(Q115-Q114)/(P115-P114)</f>
        <v>-3.5999999999988384</v>
      </c>
      <c r="P115" s="1">
        <v>0.117708333333333</v>
      </c>
      <c r="Q115" s="2">
        <f t="shared" si="3"/>
        <v>0.238125</v>
      </c>
      <c r="R115">
        <v>254</v>
      </c>
    </row>
    <row r="116" spans="2:18">
      <c r="B116" s="5">
        <f>(D116-D115)/(C116-C115)</f>
        <v>-4.6847999999985142</v>
      </c>
      <c r="C116" s="1">
        <v>0.11874999999999999</v>
      </c>
      <c r="D116" s="2">
        <f t="shared" si="2"/>
        <v>0.26644799999999996</v>
      </c>
      <c r="E116">
        <v>273</v>
      </c>
      <c r="O116" s="5">
        <f>(Q116-Q115)/(P116-P115)</f>
        <v>-4.4999999999985878</v>
      </c>
      <c r="P116" s="1">
        <v>0.11874999999999999</v>
      </c>
      <c r="Q116" s="2">
        <f t="shared" si="3"/>
        <v>0.23343749999999999</v>
      </c>
      <c r="R116">
        <v>249</v>
      </c>
    </row>
    <row r="117" spans="2:18">
      <c r="B117" s="5">
        <f>(D117-D116)/(C117-C116)</f>
        <v>-3.7478400000023244</v>
      </c>
      <c r="C117" s="1">
        <v>0.11979166666666601</v>
      </c>
      <c r="D117" s="2">
        <f t="shared" si="2"/>
        <v>0.262544</v>
      </c>
      <c r="E117">
        <v>269</v>
      </c>
      <c r="O117" s="5">
        <f>(Q117-Q116)/(P117-P116)</f>
        <v>-3.6000000000022703</v>
      </c>
      <c r="P117" s="1">
        <v>0.11979166666666601</v>
      </c>
      <c r="Q117" s="2">
        <f t="shared" si="3"/>
        <v>0.22968749999999999</v>
      </c>
      <c r="R117">
        <v>245</v>
      </c>
    </row>
    <row r="118" spans="2:18">
      <c r="B118" s="5">
        <f>(D118-D117)/(C118-C117)</f>
        <v>-3.747839999998833</v>
      </c>
      <c r="C118" s="1">
        <v>0.120833333333333</v>
      </c>
      <c r="D118" s="2">
        <f t="shared" si="2"/>
        <v>0.25863999999999998</v>
      </c>
      <c r="E118">
        <v>265</v>
      </c>
      <c r="O118" s="5">
        <f>(Q118-Q117)/(P118-P117)</f>
        <v>-3.599999999998865</v>
      </c>
      <c r="P118" s="1">
        <v>0.120833333333333</v>
      </c>
      <c r="Q118" s="2">
        <f t="shared" si="3"/>
        <v>0.22593749999999999</v>
      </c>
      <c r="R118">
        <v>241</v>
      </c>
    </row>
    <row r="119" spans="2:18">
      <c r="B119" s="5">
        <f>(D119-D118)/(C119-C118)</f>
        <v>-4.6847999999985142</v>
      </c>
      <c r="C119" s="1">
        <v>0.121875</v>
      </c>
      <c r="D119" s="2">
        <f t="shared" si="2"/>
        <v>0.25375999999999999</v>
      </c>
      <c r="E119">
        <v>260</v>
      </c>
      <c r="O119" s="5">
        <f>(Q119-Q118)/(P119-P118)</f>
        <v>-4.4999999999985612</v>
      </c>
      <c r="P119" s="1">
        <v>0.121875</v>
      </c>
      <c r="Q119" s="2">
        <f t="shared" si="3"/>
        <v>0.22125</v>
      </c>
      <c r="R119">
        <v>236</v>
      </c>
    </row>
    <row r="120" spans="2:18">
      <c r="B120" s="5">
        <f>(D120-D119)/(C120-C119)</f>
        <v>-3.7478400000024013</v>
      </c>
      <c r="C120" s="1">
        <v>0.12291666666666599</v>
      </c>
      <c r="D120" s="2">
        <f t="shared" si="2"/>
        <v>0.24985599999999999</v>
      </c>
      <c r="E120">
        <v>256</v>
      </c>
      <c r="O120" s="5">
        <f>(Q120-Q119)/(P120-P119)</f>
        <v>-3.6000000000023182</v>
      </c>
      <c r="P120" s="1">
        <v>0.12291666666666599</v>
      </c>
      <c r="Q120" s="2">
        <f t="shared" si="3"/>
        <v>0.2175</v>
      </c>
      <c r="R120">
        <v>232</v>
      </c>
    </row>
    <row r="121" spans="2:18">
      <c r="B121" s="5">
        <f>(D121-D120)/(C121-C120)</f>
        <v>-3.7478399999987562</v>
      </c>
      <c r="C121" s="1">
        <v>0.123958333333333</v>
      </c>
      <c r="D121" s="2">
        <f t="shared" si="2"/>
        <v>0.245952</v>
      </c>
      <c r="E121">
        <v>252</v>
      </c>
      <c r="O121" s="5">
        <f>(Q121-Q120)/(P121-P120)</f>
        <v>-4.4999999999985274</v>
      </c>
      <c r="P121" s="1">
        <v>0.123958333333333</v>
      </c>
      <c r="Q121" s="2">
        <f t="shared" si="3"/>
        <v>0.21281249999999999</v>
      </c>
      <c r="R121">
        <v>227</v>
      </c>
    </row>
    <row r="122" spans="2:18">
      <c r="B122" s="5">
        <f>(D122-D121)/(C122-C121)</f>
        <v>-3.7478399999988063</v>
      </c>
      <c r="C122" s="1">
        <v>0.125</v>
      </c>
      <c r="D122" s="2">
        <f t="shared" si="2"/>
        <v>0.24204800000000001</v>
      </c>
      <c r="E122">
        <v>248</v>
      </c>
      <c r="O122" s="5">
        <f>(Q122-Q121)/(P122-P121)</f>
        <v>-3.599999999998865</v>
      </c>
      <c r="P122" s="1">
        <v>0.125</v>
      </c>
      <c r="Q122" s="2">
        <f t="shared" si="3"/>
        <v>0.20906249999999998</v>
      </c>
      <c r="R122">
        <v>223</v>
      </c>
    </row>
    <row r="123" spans="2:18">
      <c r="B123" s="5">
        <f>(D123-D122)/(C123-C122)</f>
        <v>-4.6848000000030083</v>
      </c>
      <c r="C123" s="1">
        <v>0.126041666666666</v>
      </c>
      <c r="D123" s="2">
        <f t="shared" si="2"/>
        <v>0.23716800000000002</v>
      </c>
      <c r="E123">
        <v>243</v>
      </c>
      <c r="O123" s="5">
        <f>(Q123-Q122)/(P123-P122)</f>
        <v>-3.6000000000023182</v>
      </c>
      <c r="P123" s="1">
        <v>0.126041666666666</v>
      </c>
      <c r="Q123" s="2">
        <f t="shared" si="3"/>
        <v>0.20531249999999998</v>
      </c>
      <c r="R123">
        <v>219</v>
      </c>
    </row>
    <row r="124" spans="2:18">
      <c r="B124" s="5">
        <f>(D124-D123)/(C124-C123)</f>
        <v>-3.7478399999988596</v>
      </c>
      <c r="C124" s="1">
        <v>0.12708333333333299</v>
      </c>
      <c r="D124" s="2">
        <f t="shared" si="2"/>
        <v>0.23326399999999997</v>
      </c>
      <c r="E124">
        <v>239</v>
      </c>
      <c r="O124" s="5">
        <f>(Q124-Q123)/(P124-P123)</f>
        <v>-4.4999999999985612</v>
      </c>
      <c r="P124" s="1">
        <v>0.12708333333333299</v>
      </c>
      <c r="Q124" s="2">
        <f t="shared" si="3"/>
        <v>0.200625</v>
      </c>
      <c r="R124">
        <v>214</v>
      </c>
    </row>
    <row r="125" spans="2:18">
      <c r="B125" s="5">
        <f>(D125-D124)/(C125-C124)</f>
        <v>-3.7478399999988063</v>
      </c>
      <c r="C125" s="1">
        <v>0.12812499999999999</v>
      </c>
      <c r="D125" s="2">
        <f t="shared" si="2"/>
        <v>0.22935999999999998</v>
      </c>
      <c r="E125">
        <v>235</v>
      </c>
      <c r="O125" s="5">
        <f>(Q125-Q124)/(P125-P124)</f>
        <v>-3.599999999998865</v>
      </c>
      <c r="P125" s="1">
        <v>0.12812499999999999</v>
      </c>
      <c r="Q125" s="2">
        <f t="shared" si="3"/>
        <v>0.19687499999999999</v>
      </c>
      <c r="R125">
        <v>210</v>
      </c>
    </row>
    <row r="126" spans="2:18">
      <c r="B126" s="5">
        <f>(D126-D125)/(C126-C125)</f>
        <v>-3.7478400000023013</v>
      </c>
      <c r="C126" s="1">
        <v>0.12916666666666601</v>
      </c>
      <c r="D126" s="2">
        <f t="shared" si="2"/>
        <v>0.22545599999999999</v>
      </c>
      <c r="E126">
        <v>231</v>
      </c>
      <c r="O126" s="5">
        <f>(Q126-Q125)/(P126-P125)</f>
        <v>-3.6000000000022223</v>
      </c>
      <c r="P126" s="1">
        <v>0.12916666666666601</v>
      </c>
      <c r="Q126" s="2">
        <f t="shared" si="3"/>
        <v>0.19312499999999999</v>
      </c>
      <c r="R126">
        <v>206</v>
      </c>
    </row>
    <row r="127" spans="2:18">
      <c r="B127" s="5">
        <f>(D127-D126)/(C127-C126)</f>
        <v>-4.6847999999985142</v>
      </c>
      <c r="C127" s="1">
        <v>0.13020833333333301</v>
      </c>
      <c r="D127" s="2">
        <f t="shared" si="2"/>
        <v>0.22057599999999999</v>
      </c>
      <c r="E127">
        <v>226</v>
      </c>
      <c r="O127" s="5">
        <f>(Q127-Q126)/(P127-P126)</f>
        <v>-4.4999999999985878</v>
      </c>
      <c r="P127" s="1">
        <v>0.13020833333333301</v>
      </c>
      <c r="Q127" s="2">
        <f t="shared" si="3"/>
        <v>0.18843749999999998</v>
      </c>
      <c r="R127">
        <v>201</v>
      </c>
    </row>
    <row r="128" spans="2:18">
      <c r="B128" s="5">
        <f>(D128-D127)/(C128-C127)</f>
        <v>-3.7478399999988063</v>
      </c>
      <c r="C128" s="1">
        <v>0.13125000000000001</v>
      </c>
      <c r="D128" s="2">
        <f t="shared" si="2"/>
        <v>0.216672</v>
      </c>
      <c r="E128">
        <v>222</v>
      </c>
      <c r="O128" s="5">
        <f>(Q128-Q127)/(P128-P127)</f>
        <v>-3.5999999999988384</v>
      </c>
      <c r="P128" s="1">
        <v>0.13125000000000001</v>
      </c>
      <c r="Q128" s="2">
        <f t="shared" si="3"/>
        <v>0.1846875</v>
      </c>
      <c r="R128">
        <v>197</v>
      </c>
    </row>
    <row r="129" spans="2:18">
      <c r="B129" s="5">
        <f>(D129-D128)/(C129-C128)</f>
        <v>-3.7478400000024013</v>
      </c>
      <c r="C129" s="1">
        <v>0.132291666666666</v>
      </c>
      <c r="D129" s="2">
        <f t="shared" si="2"/>
        <v>0.21276800000000001</v>
      </c>
      <c r="E129">
        <v>218</v>
      </c>
      <c r="O129" s="5">
        <f>(Q129-Q128)/(P129-P128)</f>
        <v>-3.6000000000023182</v>
      </c>
      <c r="P129" s="1">
        <v>0.132291666666666</v>
      </c>
      <c r="Q129" s="2">
        <f t="shared" si="3"/>
        <v>0.1809375</v>
      </c>
      <c r="R129">
        <v>193</v>
      </c>
    </row>
    <row r="130" spans="2:18">
      <c r="B130" s="5">
        <f>(D130-D129)/(C130-C129)</f>
        <v>-3.747839999998833</v>
      </c>
      <c r="C130" s="1">
        <v>0.133333333333333</v>
      </c>
      <c r="D130" s="2">
        <f t="shared" si="2"/>
        <v>0.20886399999999999</v>
      </c>
      <c r="E130">
        <v>214</v>
      </c>
      <c r="O130" s="5">
        <f>(Q130-Q129)/(P130-P129)</f>
        <v>-4.4999999999985878</v>
      </c>
      <c r="P130" s="1">
        <v>0.133333333333333</v>
      </c>
      <c r="Q130" s="2">
        <f t="shared" si="3"/>
        <v>0.17624999999999999</v>
      </c>
      <c r="R130">
        <v>188</v>
      </c>
    </row>
    <row r="131" spans="2:18">
      <c r="B131" s="5">
        <f>(D131-D130)/(C131-C130)</f>
        <v>-3.7478399999988063</v>
      </c>
      <c r="C131" s="1">
        <v>0.13437499999999999</v>
      </c>
      <c r="D131" s="2">
        <f t="shared" ref="D131:D154" si="4">(0.244*E131)/250</f>
        <v>0.20496</v>
      </c>
      <c r="E131">
        <v>210</v>
      </c>
      <c r="O131" s="5">
        <f>(Q131-Q130)/(P131-P130)</f>
        <v>-3.599999999998865</v>
      </c>
      <c r="P131" s="1">
        <v>0.13437499999999999</v>
      </c>
      <c r="Q131" s="2">
        <f t="shared" ref="Q131:Q146" si="5">(0.24*R131)/256</f>
        <v>0.17249999999999999</v>
      </c>
      <c r="R131">
        <v>184</v>
      </c>
    </row>
    <row r="132" spans="2:18">
      <c r="B132" s="5">
        <f>(D132-D131)/(C132-C131)</f>
        <v>-4.684800000003035</v>
      </c>
      <c r="C132" s="1">
        <v>0.13541666666666599</v>
      </c>
      <c r="D132" s="2">
        <f t="shared" si="4"/>
        <v>0.20007999999999998</v>
      </c>
      <c r="E132">
        <v>205</v>
      </c>
      <c r="O132" s="5">
        <f>(Q132-Q131)/(P132-P131)</f>
        <v>-3.6000000000023182</v>
      </c>
      <c r="P132" s="1">
        <v>0.13541666666666599</v>
      </c>
      <c r="Q132" s="2">
        <f t="shared" si="5"/>
        <v>0.16874999999999998</v>
      </c>
      <c r="R132">
        <v>180</v>
      </c>
    </row>
    <row r="133" spans="2:18">
      <c r="B133" s="5">
        <f>(D133-D132)/(C133-C132)</f>
        <v>-3.7478399999988063</v>
      </c>
      <c r="C133" s="1">
        <v>0.13645833333333299</v>
      </c>
      <c r="D133" s="2">
        <f t="shared" si="4"/>
        <v>0.19617599999999999</v>
      </c>
      <c r="E133">
        <v>201</v>
      </c>
      <c r="O133" s="5">
        <f>(Q133-Q132)/(P133-P132)</f>
        <v>-4.4999999999985612</v>
      </c>
      <c r="P133" s="1">
        <v>0.13645833333333299</v>
      </c>
      <c r="Q133" s="2">
        <f t="shared" si="5"/>
        <v>0.1640625</v>
      </c>
      <c r="R133">
        <v>175</v>
      </c>
    </row>
    <row r="134" spans="2:18">
      <c r="B134" s="5">
        <f>(D134-D133)/(C134-C133)</f>
        <v>-3.7478399999987064</v>
      </c>
      <c r="C134" s="1">
        <v>0.13750000000000001</v>
      </c>
      <c r="D134" s="2">
        <f t="shared" si="4"/>
        <v>0.192272</v>
      </c>
      <c r="E134">
        <v>197</v>
      </c>
      <c r="O134" s="5">
        <f>(Q134-Q133)/(P134-P133)</f>
        <v>-3.5999999999987691</v>
      </c>
      <c r="P134" s="1">
        <v>0.13750000000000001</v>
      </c>
      <c r="Q134" s="2">
        <f t="shared" si="5"/>
        <v>0.1603125</v>
      </c>
      <c r="R134">
        <v>171</v>
      </c>
    </row>
    <row r="135" spans="2:18">
      <c r="B135" s="5">
        <f>(D135-D134)/(C135-C134)</f>
        <v>-3.7478400000024013</v>
      </c>
      <c r="C135" s="1">
        <v>0.13854166666666601</v>
      </c>
      <c r="D135" s="2">
        <f t="shared" si="4"/>
        <v>0.18836800000000001</v>
      </c>
      <c r="E135">
        <v>193</v>
      </c>
      <c r="O135" s="5">
        <f>(Q135-Q134)/(P135-P134)</f>
        <v>-3.6000000000023182</v>
      </c>
      <c r="P135" s="1">
        <v>0.13854166666666601</v>
      </c>
      <c r="Q135" s="2">
        <f t="shared" si="5"/>
        <v>0.15656249999999999</v>
      </c>
      <c r="R135">
        <v>167</v>
      </c>
    </row>
    <row r="136" spans="2:18">
      <c r="B136" s="5">
        <f>(D136-D135)/(C136-C135)</f>
        <v>-3.747839999998833</v>
      </c>
      <c r="C136" s="1">
        <v>0.139583333333333</v>
      </c>
      <c r="D136" s="2">
        <f t="shared" si="4"/>
        <v>0.18446399999999999</v>
      </c>
      <c r="E136">
        <v>189</v>
      </c>
      <c r="O136" s="5">
        <f>(Q136-Q135)/(P136-P135)</f>
        <v>-3.599999999998865</v>
      </c>
      <c r="P136" s="1">
        <v>0.139583333333333</v>
      </c>
      <c r="Q136" s="2">
        <f t="shared" si="5"/>
        <v>0.15281249999999999</v>
      </c>
      <c r="R136">
        <v>163</v>
      </c>
    </row>
    <row r="137" spans="2:18">
      <c r="B137" s="5">
        <f>(D137-D136)/(C137-C136)</f>
        <v>-3.7478399999988063</v>
      </c>
      <c r="C137" s="1">
        <v>0.140625</v>
      </c>
      <c r="D137" s="2">
        <f t="shared" si="4"/>
        <v>0.18056</v>
      </c>
      <c r="E137">
        <v>185</v>
      </c>
      <c r="O137" s="5">
        <f>(Q137-Q136)/(P137-P136)</f>
        <v>-4.4999999999985612</v>
      </c>
      <c r="P137" s="1">
        <v>0.140625</v>
      </c>
      <c r="Q137" s="2">
        <f t="shared" si="5"/>
        <v>0.14812500000000001</v>
      </c>
      <c r="R137">
        <v>158</v>
      </c>
    </row>
    <row r="138" spans="2:18">
      <c r="B138" s="5">
        <f>(D138-D137)/(C138-C137)</f>
        <v>-3.7478400000024013</v>
      </c>
      <c r="C138" s="1">
        <v>0.141666666666666</v>
      </c>
      <c r="D138" s="2">
        <f t="shared" si="4"/>
        <v>0.17665600000000001</v>
      </c>
      <c r="E138">
        <v>181</v>
      </c>
      <c r="O138" s="5">
        <f>(Q138-Q137)/(P138-P137)</f>
        <v>-3.6000000000023182</v>
      </c>
      <c r="P138" s="1">
        <v>0.141666666666666</v>
      </c>
      <c r="Q138" s="2">
        <f t="shared" si="5"/>
        <v>0.144375</v>
      </c>
      <c r="R138">
        <v>154</v>
      </c>
    </row>
    <row r="139" spans="2:18">
      <c r="B139" s="5">
        <f>(D139-D138)/(C139-C138)</f>
        <v>-3.7478399999988063</v>
      </c>
      <c r="C139" s="1">
        <v>0.14270833333333299</v>
      </c>
      <c r="D139" s="2">
        <f t="shared" si="4"/>
        <v>0.17275200000000002</v>
      </c>
      <c r="E139">
        <v>177</v>
      </c>
      <c r="O139" s="5">
        <f>(Q139-Q138)/(P139-P138)</f>
        <v>-3.599999999998865</v>
      </c>
      <c r="P139" s="1">
        <v>0.14270833333333299</v>
      </c>
      <c r="Q139" s="2">
        <f t="shared" si="5"/>
        <v>0.140625</v>
      </c>
      <c r="R139">
        <v>150</v>
      </c>
    </row>
    <row r="140" spans="2:18">
      <c r="B140" s="5">
        <f>(D140-D139)/(C140-C139)</f>
        <v>-4.6847999999985408</v>
      </c>
      <c r="C140" s="1">
        <v>0.14374999999999999</v>
      </c>
      <c r="D140" s="2">
        <f t="shared" si="4"/>
        <v>0.16787199999999999</v>
      </c>
      <c r="E140">
        <v>172</v>
      </c>
      <c r="O140" s="5">
        <f>(Q140-Q139)/(P140-P139)</f>
        <v>-3.599999999998865</v>
      </c>
      <c r="P140" s="1">
        <v>0.14374999999999999</v>
      </c>
      <c r="Q140" s="2">
        <f t="shared" si="5"/>
        <v>0.136875</v>
      </c>
      <c r="R140">
        <v>146</v>
      </c>
    </row>
    <row r="141" spans="2:18">
      <c r="B141" s="5">
        <f>(D141-D140)/(C141-C140)</f>
        <v>-3.7478400000023013</v>
      </c>
      <c r="C141" s="1">
        <v>0.14479166666666601</v>
      </c>
      <c r="D141" s="2">
        <f t="shared" si="4"/>
        <v>0.163968</v>
      </c>
      <c r="E141">
        <v>168</v>
      </c>
      <c r="O141" s="5">
        <f>(Q141-Q140)/(P141-P140)</f>
        <v>-3.6000000000022223</v>
      </c>
      <c r="P141" s="1">
        <v>0.14479166666666601</v>
      </c>
      <c r="Q141" s="2">
        <f t="shared" si="5"/>
        <v>0.13312499999999999</v>
      </c>
      <c r="R141">
        <v>142</v>
      </c>
    </row>
    <row r="142" spans="2:18">
      <c r="B142" s="5">
        <f>(D142-D141)/(C142-C141)</f>
        <v>-3.747839999998833</v>
      </c>
      <c r="C142" s="1">
        <v>0.14583333333333301</v>
      </c>
      <c r="D142" s="2">
        <f t="shared" si="4"/>
        <v>0.16006399999999998</v>
      </c>
      <c r="E142">
        <v>164</v>
      </c>
      <c r="O142" s="5">
        <f>(Q142-Q141)/(P142-P141)</f>
        <v>-4.4999999999985878</v>
      </c>
      <c r="P142" s="1">
        <v>0.14583333333333301</v>
      </c>
      <c r="Q142" s="2">
        <f t="shared" si="5"/>
        <v>0.12843749999999998</v>
      </c>
      <c r="R142">
        <v>137</v>
      </c>
    </row>
    <row r="143" spans="2:18">
      <c r="B143" s="5">
        <f>(D143-D142)/(C143-C142)</f>
        <v>-3.7478399999988063</v>
      </c>
      <c r="C143" s="1">
        <v>0.14687500000000001</v>
      </c>
      <c r="D143" s="2">
        <f t="shared" si="4"/>
        <v>0.15615999999999999</v>
      </c>
      <c r="E143">
        <v>160</v>
      </c>
      <c r="O143" s="5">
        <f>(Q143-Q142)/(P143-P142)</f>
        <v>-3.5999999999988517</v>
      </c>
      <c r="P143" s="1">
        <v>0.14687500000000001</v>
      </c>
      <c r="Q143" s="2">
        <f t="shared" si="5"/>
        <v>0.12468749999999999</v>
      </c>
      <c r="R143">
        <v>133</v>
      </c>
    </row>
    <row r="144" spans="2:18">
      <c r="B144" s="5">
        <f>(D144-D143)/(C144-C143)</f>
        <v>-3.7478400000024013</v>
      </c>
      <c r="C144" s="1">
        <v>0.147916666666666</v>
      </c>
      <c r="D144" s="2">
        <f t="shared" si="4"/>
        <v>0.152256</v>
      </c>
      <c r="E144">
        <v>156</v>
      </c>
      <c r="O144" s="5">
        <f>(Q144-Q143)/(P144-P143)</f>
        <v>-3.6000000000023182</v>
      </c>
      <c r="P144" s="1">
        <v>0.147916666666666</v>
      </c>
      <c r="Q144" s="2">
        <f t="shared" si="5"/>
        <v>0.12093749999999999</v>
      </c>
      <c r="R144">
        <v>129</v>
      </c>
    </row>
    <row r="145" spans="2:18">
      <c r="B145" s="5">
        <f>(D145-D144)/(C145-C144)</f>
        <v>-3.7478399999988063</v>
      </c>
      <c r="C145" s="1">
        <v>0.148958333333333</v>
      </c>
      <c r="D145" s="2">
        <f t="shared" si="4"/>
        <v>0.14835200000000001</v>
      </c>
      <c r="E145">
        <v>152</v>
      </c>
      <c r="O145" s="5">
        <f>(Q145-Q144)/(P145-P144)</f>
        <v>-3.5999999999988517</v>
      </c>
      <c r="P145" s="1">
        <v>0.148958333333333</v>
      </c>
      <c r="Q145" s="2">
        <f t="shared" si="5"/>
        <v>0.1171875</v>
      </c>
      <c r="R145">
        <v>125</v>
      </c>
    </row>
    <row r="146" spans="2:18">
      <c r="B146" s="5">
        <f>(D146-D145)/(C146-C145)</f>
        <v>-3.7478399999988063</v>
      </c>
      <c r="C146" s="1">
        <v>0.15</v>
      </c>
      <c r="D146" s="2">
        <f t="shared" si="4"/>
        <v>0.14444800000000002</v>
      </c>
      <c r="E146">
        <v>148</v>
      </c>
      <c r="O146" s="5">
        <f>(Q146-Q145)/(P146-P145)</f>
        <v>-4.4999999999985878</v>
      </c>
      <c r="P146" s="1">
        <v>0.15</v>
      </c>
      <c r="Q146" s="2">
        <f t="shared" si="5"/>
        <v>0.11249999999999999</v>
      </c>
      <c r="R146">
        <v>120</v>
      </c>
    </row>
    <row r="147" spans="2:18">
      <c r="B147" s="5">
        <f>(D147-D146)/(C147-C146)</f>
        <v>-3.7478400000024545</v>
      </c>
      <c r="C147" s="1">
        <v>0.15104166666666599</v>
      </c>
      <c r="D147" s="2">
        <f t="shared" si="4"/>
        <v>0.14054399999999997</v>
      </c>
      <c r="E147">
        <v>144</v>
      </c>
      <c r="O147" s="5"/>
      <c r="P147" s="1"/>
      <c r="Q147" s="2"/>
    </row>
    <row r="148" spans="2:18">
      <c r="B148" s="5">
        <f>(D148-D147)/(C148-C147)</f>
        <v>-3.7478399999988063</v>
      </c>
      <c r="C148" s="1">
        <v>0.15208333333333299</v>
      </c>
      <c r="D148" s="2">
        <f t="shared" si="4"/>
        <v>0.13663999999999998</v>
      </c>
      <c r="E148">
        <v>140</v>
      </c>
      <c r="O148" s="5"/>
      <c r="P148" s="1"/>
      <c r="Q148" s="2"/>
    </row>
    <row r="149" spans="2:18">
      <c r="B149" s="5">
        <f>(D149-D148)/(C149-C148)</f>
        <v>-3.7478399999987064</v>
      </c>
      <c r="C149" s="1">
        <v>0.15312500000000001</v>
      </c>
      <c r="D149" s="2">
        <f t="shared" si="4"/>
        <v>0.13273599999999999</v>
      </c>
      <c r="E149">
        <v>136</v>
      </c>
      <c r="O149" s="5"/>
      <c r="P149" s="1"/>
      <c r="Q149" s="2"/>
    </row>
    <row r="150" spans="2:18">
      <c r="B150" s="5">
        <f>(D150-D149)/(C150-C149)</f>
        <v>-3.7478400000024013</v>
      </c>
      <c r="C150" s="1">
        <v>0.15416666666666601</v>
      </c>
      <c r="D150" s="2">
        <f t="shared" si="4"/>
        <v>0.128832</v>
      </c>
      <c r="E150">
        <v>132</v>
      </c>
      <c r="O150" s="5"/>
      <c r="P150" s="1"/>
      <c r="Q150" s="2"/>
    </row>
    <row r="151" spans="2:18">
      <c r="B151" s="5">
        <f>(D151-D150)/(C151-C150)</f>
        <v>-3.7478399999988197</v>
      </c>
      <c r="C151" s="1">
        <v>0.155208333333333</v>
      </c>
      <c r="D151" s="2">
        <f t="shared" si="4"/>
        <v>0.124928</v>
      </c>
      <c r="E151">
        <v>128</v>
      </c>
      <c r="O151" s="5"/>
      <c r="P151" s="1"/>
      <c r="Q151" s="2"/>
    </row>
    <row r="152" spans="2:18">
      <c r="B152" s="5">
        <f>(D152-D151)/(C152-C151)</f>
        <v>-3.7478399999988063</v>
      </c>
      <c r="C152" s="1">
        <v>0.15625</v>
      </c>
      <c r="D152" s="2">
        <f t="shared" si="4"/>
        <v>0.12102400000000001</v>
      </c>
      <c r="E152">
        <v>124</v>
      </c>
      <c r="O152" s="5"/>
      <c r="P152" s="1"/>
      <c r="Q152" s="2"/>
    </row>
    <row r="153" spans="2:18">
      <c r="B153" s="5">
        <f>(D153-D152)/(C153-C152)</f>
        <v>-3.7478400000024146</v>
      </c>
      <c r="C153" s="1">
        <v>0.157291666666666</v>
      </c>
      <c r="D153" s="2">
        <f t="shared" si="4"/>
        <v>0.11712</v>
      </c>
      <c r="E153">
        <v>120</v>
      </c>
      <c r="O153" s="5"/>
      <c r="P153" s="1"/>
      <c r="Q153" s="2"/>
    </row>
    <row r="154" spans="2:18">
      <c r="B154" s="5">
        <f>(D154-D153)/(C154-C153)</f>
        <v>-3.7478399999988197</v>
      </c>
      <c r="C154" s="1">
        <v>0.15833333333333299</v>
      </c>
      <c r="D154" s="2">
        <f t="shared" si="4"/>
        <v>0.113216</v>
      </c>
      <c r="E154">
        <v>116</v>
      </c>
      <c r="O154" s="5"/>
      <c r="P154" s="1"/>
      <c r="Q15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2024-05-16T15:30:30Z</dcterms:created>
  <dcterms:modified xsi:type="dcterms:W3CDTF">2024-05-29T11:34:51Z</dcterms:modified>
  <cp:category/>
  <cp:contentStatus/>
</cp:coreProperties>
</file>